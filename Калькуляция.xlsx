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8AA8D77C-E277-41BA-B14C-23DF2A40649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листовка офс" sheetId="3" r:id="rId1"/>
    <sheet name="Цифра А3" sheetId="9" r:id="rId2"/>
    <sheet name="Цифра А4" sheetId="8" r:id="rId3"/>
    <sheet name="брошюра, книги мяг. перепл офс" sheetId="5" r:id="rId4"/>
    <sheet name="пакет цифра" sheetId="12" r:id="rId5"/>
    <sheet name="книга тв-п цифра" sheetId="4" r:id="rId6"/>
    <sheet name="книга тв-п офс" sheetId="2" r:id="rId7"/>
    <sheet name="пакет офс" sheetId="1" r:id="rId8"/>
    <sheet name="Блокнот" sheetId="11" r:id="rId9"/>
  </sheets>
  <definedNames>
    <definedName name="_xlnm._FilterDatabase" localSheetId="0" hidden="1">'листовка офс'!$A$1:$U$1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3" l="1"/>
  <c r="K2" i="3"/>
  <c r="C2" i="3"/>
  <c r="J2" i="3" s="1"/>
  <c r="L2" i="3" l="1"/>
  <c r="M2" i="3" s="1"/>
  <c r="O2" i="3" s="1"/>
  <c r="F2" i="3"/>
  <c r="Q2" i="3" s="1"/>
  <c r="T2" i="3" l="1"/>
  <c r="U2" i="3" s="1"/>
  <c r="P2" i="3"/>
  <c r="R209" i="4"/>
  <c r="K5" i="5" l="1"/>
  <c r="E5" i="5"/>
  <c r="M5" i="5" s="1"/>
  <c r="K4" i="5"/>
  <c r="S4" i="5" s="1"/>
  <c r="E4" i="5"/>
  <c r="H4" i="5" s="1"/>
  <c r="T3" i="5"/>
  <c r="K3" i="5"/>
  <c r="S3" i="5" s="1"/>
  <c r="E3" i="5"/>
  <c r="H3" i="5" s="1"/>
  <c r="H5" i="5" l="1"/>
  <c r="I5" i="5" s="1"/>
  <c r="S5" i="5" s="1"/>
  <c r="O5" i="5"/>
  <c r="P5" i="5" s="1"/>
  <c r="R5" i="5" s="1"/>
  <c r="M3" i="5"/>
  <c r="M4" i="5"/>
  <c r="O4" i="5" l="1"/>
  <c r="P4" i="5" s="1"/>
  <c r="R4" i="5" s="1"/>
  <c r="O3" i="5"/>
  <c r="P3" i="5" s="1"/>
  <c r="R3" i="5" s="1"/>
  <c r="V3" i="5" l="1"/>
  <c r="W3" i="5" s="1"/>
  <c r="R221" i="4" l="1"/>
  <c r="K223" i="4"/>
  <c r="E223" i="4"/>
  <c r="H223" i="4" s="1"/>
  <c r="K222" i="4"/>
  <c r="E222" i="4"/>
  <c r="H222" i="4" s="1"/>
  <c r="K221" i="4"/>
  <c r="E221" i="4"/>
  <c r="H221" i="4" s="1"/>
  <c r="R217" i="4"/>
  <c r="K219" i="4"/>
  <c r="E219" i="4"/>
  <c r="H219" i="4" s="1"/>
  <c r="N218" i="4"/>
  <c r="K218" i="4"/>
  <c r="E218" i="4"/>
  <c r="H218" i="4" s="1"/>
  <c r="K217" i="4"/>
  <c r="E217" i="4"/>
  <c r="H217" i="4" s="1"/>
  <c r="M217" i="4" s="1"/>
  <c r="N217" i="4" s="1"/>
  <c r="P217" i="4" s="1"/>
  <c r="I222" i="4" l="1"/>
  <c r="Q222" i="4" s="1"/>
  <c r="M222" i="4"/>
  <c r="I221" i="4"/>
  <c r="Q221" i="4" s="1"/>
  <c r="M221" i="4"/>
  <c r="I223" i="4"/>
  <c r="Q223" i="4" s="1"/>
  <c r="M223" i="4"/>
  <c r="I217" i="4"/>
  <c r="Q217" i="4" s="1"/>
  <c r="I218" i="4"/>
  <c r="Q218" i="4" s="1"/>
  <c r="P218" i="4"/>
  <c r="I219" i="4"/>
  <c r="Q219" i="4" s="1"/>
  <c r="M219" i="4"/>
  <c r="N219" i="4" s="1"/>
  <c r="P219" i="4" s="1"/>
  <c r="N223" i="4" l="1"/>
  <c r="P223" i="4" s="1"/>
  <c r="N221" i="4"/>
  <c r="P221" i="4" s="1"/>
  <c r="N222" i="4"/>
  <c r="P222" i="4" s="1"/>
  <c r="T217" i="4"/>
  <c r="U217" i="4" s="1"/>
  <c r="T221" i="4" l="1"/>
  <c r="U221" i="4" s="1"/>
  <c r="N61" i="2"/>
  <c r="K61" i="2"/>
  <c r="E61" i="2"/>
  <c r="M61" i="2" s="1"/>
  <c r="K60" i="2"/>
  <c r="E60" i="2"/>
  <c r="H60" i="2" s="1"/>
  <c r="I60" i="2" s="1"/>
  <c r="N59" i="2"/>
  <c r="K59" i="2"/>
  <c r="S59" i="2" s="1"/>
  <c r="E59" i="2"/>
  <c r="H59" i="2" s="1"/>
  <c r="N56" i="2"/>
  <c r="K56" i="2"/>
  <c r="E56" i="2"/>
  <c r="M56" i="2" s="1"/>
  <c r="K55" i="2"/>
  <c r="E55" i="2"/>
  <c r="M55" i="2" s="1"/>
  <c r="N54" i="2"/>
  <c r="K54" i="2"/>
  <c r="S54" i="2" s="1"/>
  <c r="E54" i="2"/>
  <c r="M54" i="2" s="1"/>
  <c r="R213" i="4"/>
  <c r="K215" i="4"/>
  <c r="E215" i="4"/>
  <c r="H215" i="4" s="1"/>
  <c r="K214" i="4"/>
  <c r="E214" i="4"/>
  <c r="H214" i="4" s="1"/>
  <c r="K213" i="4"/>
  <c r="E213" i="4"/>
  <c r="H213" i="4" s="1"/>
  <c r="M213" i="4" s="1"/>
  <c r="N213" i="4" s="1"/>
  <c r="H55" i="2" l="1"/>
  <c r="I55" i="2" s="1"/>
  <c r="S55" i="2" s="1"/>
  <c r="T54" i="2"/>
  <c r="S60" i="2"/>
  <c r="T59" i="2"/>
  <c r="H61" i="2"/>
  <c r="I61" i="2" s="1"/>
  <c r="S61" i="2" s="1"/>
  <c r="O61" i="2"/>
  <c r="P61" i="2" s="1"/>
  <c r="R61" i="2" s="1"/>
  <c r="M59" i="2"/>
  <c r="M60" i="2"/>
  <c r="H54" i="2"/>
  <c r="O55" i="2"/>
  <c r="P55" i="2" s="1"/>
  <c r="R55" i="2" s="1"/>
  <c r="O54" i="2"/>
  <c r="P54" i="2" s="1"/>
  <c r="R54" i="2" s="1"/>
  <c r="O56" i="2"/>
  <c r="P56" i="2" s="1"/>
  <c r="R56" i="2" s="1"/>
  <c r="H56" i="2"/>
  <c r="I56" i="2" s="1"/>
  <c r="S56" i="2" s="1"/>
  <c r="I214" i="4"/>
  <c r="Q214" i="4" s="1"/>
  <c r="M214" i="4"/>
  <c r="N214" i="4" s="1"/>
  <c r="P214" i="4" s="1"/>
  <c r="M215" i="4"/>
  <c r="N215" i="4" s="1"/>
  <c r="P215" i="4" s="1"/>
  <c r="I215" i="4"/>
  <c r="Q215" i="4" s="1"/>
  <c r="I213" i="4"/>
  <c r="Q213" i="4" s="1"/>
  <c r="P213" i="4"/>
  <c r="O60" i="2" l="1"/>
  <c r="P60" i="2" s="1"/>
  <c r="R60" i="2" s="1"/>
  <c r="O59" i="2"/>
  <c r="P59" i="2" s="1"/>
  <c r="R59" i="2" s="1"/>
  <c r="V54" i="2"/>
  <c r="W54" i="2" s="1"/>
  <c r="T213" i="4"/>
  <c r="U213" i="4" s="1"/>
  <c r="K211" i="4"/>
  <c r="E211" i="4"/>
  <c r="H211" i="4" s="1"/>
  <c r="K210" i="4"/>
  <c r="E210" i="4"/>
  <c r="H210" i="4" s="1"/>
  <c r="K209" i="4"/>
  <c r="E209" i="4"/>
  <c r="H209" i="4" s="1"/>
  <c r="M209" i="4" s="1"/>
  <c r="N209" i="4" s="1"/>
  <c r="V59" i="2" l="1"/>
  <c r="W59" i="2" s="1"/>
  <c r="I210" i="4"/>
  <c r="Q210" i="4" s="1"/>
  <c r="M210" i="4"/>
  <c r="I211" i="4"/>
  <c r="Q211" i="4" s="1"/>
  <c r="M211" i="4"/>
  <c r="I209" i="4"/>
  <c r="Q209" i="4" s="1"/>
  <c r="P209" i="4"/>
  <c r="N211" i="4" l="1"/>
  <c r="P211" i="4" s="1"/>
  <c r="N210" i="4"/>
  <c r="P210" i="4" s="1"/>
  <c r="T209" i="4" l="1"/>
  <c r="U209" i="4" s="1"/>
  <c r="K207" i="4"/>
  <c r="E207" i="4"/>
  <c r="H207" i="4" s="1"/>
  <c r="K206" i="4"/>
  <c r="E206" i="4"/>
  <c r="H206" i="4" s="1"/>
  <c r="K205" i="4"/>
  <c r="E205" i="4"/>
  <c r="H205" i="4" s="1"/>
  <c r="M205" i="4" l="1"/>
  <c r="N205" i="4" s="1"/>
  <c r="P205" i="4" s="1"/>
  <c r="I205" i="4"/>
  <c r="Q205" i="4" s="1"/>
  <c r="M206" i="4"/>
  <c r="N206" i="4" s="1"/>
  <c r="P206" i="4" s="1"/>
  <c r="M207" i="4"/>
  <c r="N207" i="4" s="1"/>
  <c r="P207" i="4" s="1"/>
  <c r="I206" i="4"/>
  <c r="Q206" i="4" s="1"/>
  <c r="I207" i="4"/>
  <c r="Q207" i="4" s="1"/>
  <c r="K203" i="4"/>
  <c r="E203" i="4"/>
  <c r="H203" i="4" s="1"/>
  <c r="K202" i="4"/>
  <c r="E202" i="4"/>
  <c r="H202" i="4" s="1"/>
  <c r="R201" i="4"/>
  <c r="K201" i="4"/>
  <c r="E201" i="4"/>
  <c r="H201" i="4" s="1"/>
  <c r="T205" i="4" l="1"/>
  <c r="U205" i="4" s="1"/>
  <c r="I202" i="4"/>
  <c r="Q202" i="4" s="1"/>
  <c r="M202" i="4"/>
  <c r="N202" i="4" s="1"/>
  <c r="P202" i="4" s="1"/>
  <c r="I203" i="4"/>
  <c r="Q203" i="4" s="1"/>
  <c r="M203" i="4"/>
  <c r="N203" i="4" s="1"/>
  <c r="P203" i="4" s="1"/>
  <c r="M201" i="4"/>
  <c r="N201" i="4" s="1"/>
  <c r="P201" i="4" s="1"/>
  <c r="I201" i="4"/>
  <c r="Q201" i="4" s="1"/>
  <c r="T201" i="4" l="1"/>
  <c r="U201" i="4" s="1"/>
  <c r="N51" i="2" l="1"/>
  <c r="N49" i="2"/>
  <c r="K51" i="2"/>
  <c r="E51" i="2"/>
  <c r="H51" i="2" s="1"/>
  <c r="I51" i="2" s="1"/>
  <c r="S51" i="2" s="1"/>
  <c r="K50" i="2"/>
  <c r="E50" i="2"/>
  <c r="H50" i="2" s="1"/>
  <c r="I50" i="2" s="1"/>
  <c r="S50" i="2" s="1"/>
  <c r="K49" i="2"/>
  <c r="S49" i="2" s="1"/>
  <c r="E49" i="2"/>
  <c r="H49" i="2" s="1"/>
  <c r="T49" i="2" l="1"/>
  <c r="M49" i="2"/>
  <c r="O49" i="2" s="1"/>
  <c r="M50" i="2"/>
  <c r="O50" i="2" s="1"/>
  <c r="M51" i="2"/>
  <c r="O51" i="2" s="1"/>
  <c r="P51" i="2" l="1"/>
  <c r="R51" i="2" s="1"/>
  <c r="P50" i="2"/>
  <c r="R50" i="2" s="1"/>
  <c r="P49" i="2"/>
  <c r="R49" i="2" s="1"/>
  <c r="V49" i="2" l="1"/>
  <c r="W49" i="2" s="1"/>
  <c r="R181" i="4" l="1"/>
  <c r="K199" i="4" l="1"/>
  <c r="E199" i="4"/>
  <c r="H199" i="4" s="1"/>
  <c r="K198" i="4"/>
  <c r="E198" i="4"/>
  <c r="H198" i="4" s="1"/>
  <c r="R197" i="4"/>
  <c r="K197" i="4"/>
  <c r="E197" i="4"/>
  <c r="H197" i="4" s="1"/>
  <c r="K195" i="4"/>
  <c r="E195" i="4"/>
  <c r="H195" i="4" s="1"/>
  <c r="K194" i="4"/>
  <c r="E194" i="4"/>
  <c r="H194" i="4" s="1"/>
  <c r="R193" i="4"/>
  <c r="K193" i="4"/>
  <c r="E193" i="4"/>
  <c r="H193" i="4" s="1"/>
  <c r="M193" i="4" s="1"/>
  <c r="N193" i="4" s="1"/>
  <c r="R189" i="4"/>
  <c r="K191" i="4"/>
  <c r="E191" i="4"/>
  <c r="H191" i="4" s="1"/>
  <c r="K190" i="4"/>
  <c r="E190" i="4"/>
  <c r="H190" i="4" s="1"/>
  <c r="K189" i="4"/>
  <c r="E189" i="4"/>
  <c r="H189" i="4" s="1"/>
  <c r="I195" i="4" l="1"/>
  <c r="Q195" i="4" s="1"/>
  <c r="M195" i="4"/>
  <c r="N195" i="4" s="1"/>
  <c r="P195" i="4" s="1"/>
  <c r="I198" i="4"/>
  <c r="Q198" i="4" s="1"/>
  <c r="M198" i="4"/>
  <c r="N198" i="4" s="1"/>
  <c r="P198" i="4" s="1"/>
  <c r="I194" i="4"/>
  <c r="Q194" i="4" s="1"/>
  <c r="M194" i="4"/>
  <c r="N194" i="4" s="1"/>
  <c r="P194" i="4" s="1"/>
  <c r="I197" i="4"/>
  <c r="Q197" i="4" s="1"/>
  <c r="M197" i="4"/>
  <c r="N197" i="4" s="1"/>
  <c r="P197" i="4" s="1"/>
  <c r="I199" i="4"/>
  <c r="Q199" i="4" s="1"/>
  <c r="M199" i="4"/>
  <c r="N199" i="4" s="1"/>
  <c r="P199" i="4" s="1"/>
  <c r="P193" i="4"/>
  <c r="I193" i="4"/>
  <c r="Q193" i="4" s="1"/>
  <c r="M189" i="4"/>
  <c r="I189" i="4"/>
  <c r="Q189" i="4" s="1"/>
  <c r="M190" i="4"/>
  <c r="M191" i="4"/>
  <c r="I190" i="4"/>
  <c r="Q190" i="4" s="1"/>
  <c r="I191" i="4"/>
  <c r="Q191" i="4" s="1"/>
  <c r="R185" i="4"/>
  <c r="K187" i="4"/>
  <c r="E187" i="4"/>
  <c r="H187" i="4" s="1"/>
  <c r="K186" i="4"/>
  <c r="E186" i="4"/>
  <c r="H186" i="4" s="1"/>
  <c r="K185" i="4"/>
  <c r="E185" i="4"/>
  <c r="H185" i="4" s="1"/>
  <c r="K183" i="4"/>
  <c r="E183" i="4"/>
  <c r="H183" i="4" s="1"/>
  <c r="K182" i="4"/>
  <c r="E182" i="4"/>
  <c r="H182" i="4" s="1"/>
  <c r="K181" i="4"/>
  <c r="E181" i="4"/>
  <c r="H181" i="4" s="1"/>
  <c r="K179" i="4"/>
  <c r="E179" i="4"/>
  <c r="H179" i="4" s="1"/>
  <c r="K178" i="4"/>
  <c r="E178" i="4"/>
  <c r="H178" i="4" s="1"/>
  <c r="R177" i="4"/>
  <c r="K177" i="4"/>
  <c r="E177" i="4"/>
  <c r="H177" i="4" s="1"/>
  <c r="R173" i="4"/>
  <c r="K175" i="4"/>
  <c r="E175" i="4"/>
  <c r="H175" i="4" s="1"/>
  <c r="K174" i="4"/>
  <c r="E174" i="4"/>
  <c r="H174" i="4" s="1"/>
  <c r="K173" i="4"/>
  <c r="E173" i="4"/>
  <c r="H173" i="4" s="1"/>
  <c r="M173" i="4" s="1"/>
  <c r="N173" i="4" s="1"/>
  <c r="N189" i="4" l="1"/>
  <c r="P189" i="4" s="1"/>
  <c r="T197" i="4"/>
  <c r="U197" i="4" s="1"/>
  <c r="T193" i="4"/>
  <c r="U193" i="4" s="1"/>
  <c r="N191" i="4"/>
  <c r="P191" i="4" s="1"/>
  <c r="N190" i="4"/>
  <c r="P190" i="4" s="1"/>
  <c r="M185" i="4"/>
  <c r="N185" i="4" s="1"/>
  <c r="P185" i="4" s="1"/>
  <c r="I185" i="4"/>
  <c r="Q185" i="4" s="1"/>
  <c r="M186" i="4"/>
  <c r="N186" i="4" s="1"/>
  <c r="P186" i="4" s="1"/>
  <c r="M187" i="4"/>
  <c r="N187" i="4" s="1"/>
  <c r="P187" i="4" s="1"/>
  <c r="I186" i="4"/>
  <c r="Q186" i="4" s="1"/>
  <c r="I187" i="4"/>
  <c r="Q187" i="4" s="1"/>
  <c r="M181" i="4"/>
  <c r="N181" i="4" s="1"/>
  <c r="P181" i="4" s="1"/>
  <c r="I181" i="4"/>
  <c r="Q181" i="4" s="1"/>
  <c r="M182" i="4"/>
  <c r="N182" i="4" s="1"/>
  <c r="P182" i="4" s="1"/>
  <c r="M183" i="4"/>
  <c r="N183" i="4" s="1"/>
  <c r="P183" i="4" s="1"/>
  <c r="I182" i="4"/>
  <c r="Q182" i="4" s="1"/>
  <c r="I183" i="4"/>
  <c r="Q183" i="4" s="1"/>
  <c r="M177" i="4"/>
  <c r="N177" i="4" s="1"/>
  <c r="P177" i="4" s="1"/>
  <c r="I177" i="4"/>
  <c r="Q177" i="4" s="1"/>
  <c r="M178" i="4"/>
  <c r="N178" i="4" s="1"/>
  <c r="P178" i="4" s="1"/>
  <c r="M179" i="4"/>
  <c r="N179" i="4" s="1"/>
  <c r="P179" i="4" s="1"/>
  <c r="I178" i="4"/>
  <c r="Q178" i="4" s="1"/>
  <c r="I179" i="4"/>
  <c r="Q179" i="4" s="1"/>
  <c r="M175" i="4"/>
  <c r="N175" i="4" s="1"/>
  <c r="P175" i="4" s="1"/>
  <c r="I175" i="4"/>
  <c r="Q175" i="4" s="1"/>
  <c r="M174" i="4"/>
  <c r="N174" i="4" s="1"/>
  <c r="P174" i="4" s="1"/>
  <c r="I174" i="4"/>
  <c r="Q174" i="4" s="1"/>
  <c r="I173" i="4"/>
  <c r="Q173" i="4" s="1"/>
  <c r="P173" i="4"/>
  <c r="T189" i="4" l="1"/>
  <c r="U189" i="4" s="1"/>
  <c r="T185" i="4"/>
  <c r="U185" i="4" s="1"/>
  <c r="T181" i="4"/>
  <c r="U181" i="4" s="1"/>
  <c r="T177" i="4"/>
  <c r="U177" i="4" s="1"/>
  <c r="T173" i="4"/>
  <c r="U173" i="4" s="1"/>
  <c r="B170" i="4"/>
  <c r="D170" i="4" s="1"/>
  <c r="B169" i="4"/>
  <c r="D169" i="4" s="1"/>
  <c r="K166" i="4"/>
  <c r="E166" i="4"/>
  <c r="H166" i="4" s="1"/>
  <c r="K165" i="4"/>
  <c r="E165" i="4"/>
  <c r="M165" i="4" s="1"/>
  <c r="N165" i="4" s="1"/>
  <c r="H165" i="4" l="1"/>
  <c r="I166" i="4"/>
  <c r="Q166" i="4" s="1"/>
  <c r="B168" i="4"/>
  <c r="D168" i="4" s="1"/>
  <c r="R165" i="4" s="1"/>
  <c r="I165" i="4"/>
  <c r="Q165" i="4" s="1"/>
  <c r="P165" i="4"/>
  <c r="M166" i="4"/>
  <c r="N166" i="4" s="1"/>
  <c r="P166" i="4" s="1"/>
  <c r="T165" i="4" l="1"/>
  <c r="U165" i="4" s="1"/>
  <c r="K162" i="4" l="1"/>
  <c r="E162" i="4"/>
  <c r="H162" i="4" s="1"/>
  <c r="K161" i="4"/>
  <c r="E161" i="4"/>
  <c r="H161" i="4" s="1"/>
  <c r="K160" i="4"/>
  <c r="E160" i="4"/>
  <c r="H160" i="4" s="1"/>
  <c r="R160" i="4" l="1"/>
  <c r="I161" i="4"/>
  <c r="Q161" i="4" s="1"/>
  <c r="M161" i="4"/>
  <c r="N161" i="4" s="1"/>
  <c r="P161" i="4" s="1"/>
  <c r="I162" i="4"/>
  <c r="Q162" i="4" s="1"/>
  <c r="M162" i="4"/>
  <c r="N162" i="4" s="1"/>
  <c r="P162" i="4" s="1"/>
  <c r="M160" i="4"/>
  <c r="N160" i="4" s="1"/>
  <c r="P160" i="4" s="1"/>
  <c r="I160" i="4"/>
  <c r="Q160" i="4" s="1"/>
  <c r="T160" i="4" l="1"/>
  <c r="U160" i="4" s="1"/>
  <c r="T44" i="2" l="1"/>
  <c r="N44" i="2"/>
  <c r="N46" i="2"/>
  <c r="K46" i="2"/>
  <c r="E46" i="2"/>
  <c r="H46" i="2" s="1"/>
  <c r="K45" i="2"/>
  <c r="E45" i="2"/>
  <c r="M45" i="2" s="1"/>
  <c r="K44" i="2"/>
  <c r="S44" i="2" s="1"/>
  <c r="E44" i="2"/>
  <c r="H44" i="2" s="1"/>
  <c r="H45" i="2" l="1"/>
  <c r="I45" i="2" s="1"/>
  <c r="S45" i="2" s="1"/>
  <c r="M44" i="2"/>
  <c r="I46" i="2"/>
  <c r="S46" i="2" s="1"/>
  <c r="O45" i="2"/>
  <c r="P45" i="2" s="1"/>
  <c r="R45" i="2" s="1"/>
  <c r="M46" i="2"/>
  <c r="O44" i="2"/>
  <c r="P44" i="2" s="1"/>
  <c r="R44" i="2" s="1"/>
  <c r="O46" i="2" l="1"/>
  <c r="P46" i="2" s="1"/>
  <c r="R46" i="2" s="1"/>
  <c r="V44" i="2" s="1"/>
  <c r="W44" i="2" s="1"/>
  <c r="B157" i="4" l="1"/>
  <c r="D157" i="4" s="1"/>
  <c r="B156" i="4"/>
  <c r="D156" i="4" s="1"/>
  <c r="K153" i="4"/>
  <c r="E153" i="4"/>
  <c r="M153" i="4" s="1"/>
  <c r="N153" i="4" s="1"/>
  <c r="K152" i="4"/>
  <c r="E152" i="4"/>
  <c r="H152" i="4" s="1"/>
  <c r="H153" i="4" l="1"/>
  <c r="P153" i="4" s="1"/>
  <c r="B155" i="4"/>
  <c r="D155" i="4" s="1"/>
  <c r="R152" i="4" s="1"/>
  <c r="I152" i="4"/>
  <c r="Q152" i="4" s="1"/>
  <c r="M152" i="4"/>
  <c r="N152" i="4" s="1"/>
  <c r="P152" i="4" s="1"/>
  <c r="I153" i="4" l="1"/>
  <c r="Q153" i="4" s="1"/>
  <c r="T152" i="4" s="1"/>
  <c r="U152" i="4" s="1"/>
  <c r="R147" i="4" l="1"/>
  <c r="K149" i="4"/>
  <c r="E149" i="4"/>
  <c r="H149" i="4" s="1"/>
  <c r="N148" i="4"/>
  <c r="K148" i="4"/>
  <c r="E148" i="4"/>
  <c r="H148" i="4" s="1"/>
  <c r="K147" i="4"/>
  <c r="E147" i="4"/>
  <c r="H147" i="4" s="1"/>
  <c r="I148" i="4" l="1"/>
  <c r="Q148" i="4" s="1"/>
  <c r="P148" i="4"/>
  <c r="M147" i="4"/>
  <c r="N147" i="4" s="1"/>
  <c r="P147" i="4" s="1"/>
  <c r="I147" i="4"/>
  <c r="Q147" i="4" s="1"/>
  <c r="I149" i="4"/>
  <c r="Q149" i="4" s="1"/>
  <c r="M149" i="4"/>
  <c r="N149" i="4" s="1"/>
  <c r="P149" i="4" s="1"/>
  <c r="R142" i="4"/>
  <c r="K144" i="4"/>
  <c r="E144" i="4"/>
  <c r="H144" i="4" s="1"/>
  <c r="N143" i="4"/>
  <c r="K143" i="4"/>
  <c r="E143" i="4"/>
  <c r="H143" i="4" s="1"/>
  <c r="K142" i="4"/>
  <c r="E142" i="4"/>
  <c r="H142" i="4" s="1"/>
  <c r="M142" i="4" s="1"/>
  <c r="N142" i="4" s="1"/>
  <c r="T147" i="4" l="1"/>
  <c r="U147" i="4" s="1"/>
  <c r="I144" i="4"/>
  <c r="Q144" i="4" s="1"/>
  <c r="M144" i="4"/>
  <c r="N144" i="4" s="1"/>
  <c r="P144" i="4" s="1"/>
  <c r="P143" i="4"/>
  <c r="I143" i="4"/>
  <c r="Q143" i="4" s="1"/>
  <c r="I142" i="4"/>
  <c r="Q142" i="4" s="1"/>
  <c r="P142" i="4"/>
  <c r="T142" i="4" l="1"/>
  <c r="U142" i="4" s="1"/>
  <c r="R137" i="4"/>
  <c r="K139" i="4"/>
  <c r="E139" i="4"/>
  <c r="N138" i="4"/>
  <c r="K138" i="4"/>
  <c r="E138" i="4"/>
  <c r="H138" i="4" s="1"/>
  <c r="K137" i="4"/>
  <c r="E137" i="4"/>
  <c r="H137" i="4" s="1"/>
  <c r="M137" i="4" s="1"/>
  <c r="N137" i="4" s="1"/>
  <c r="H139" i="4" l="1"/>
  <c r="M139" i="4" s="1"/>
  <c r="N139" i="4" s="1"/>
  <c r="P139" i="4" s="1"/>
  <c r="P138" i="4"/>
  <c r="I138" i="4"/>
  <c r="Q138" i="4" s="1"/>
  <c r="I137" i="4"/>
  <c r="Q137" i="4" s="1"/>
  <c r="P137" i="4"/>
  <c r="I139" i="4" l="1"/>
  <c r="Q139" i="4" s="1"/>
  <c r="T137" i="4" s="1"/>
  <c r="U137" i="4" s="1"/>
  <c r="R132" i="4" l="1"/>
  <c r="K134" i="4"/>
  <c r="E134" i="4"/>
  <c r="H134" i="4" s="1"/>
  <c r="K133" i="4"/>
  <c r="E133" i="4"/>
  <c r="H133" i="4" s="1"/>
  <c r="K132" i="4"/>
  <c r="E132" i="4"/>
  <c r="H132" i="4" s="1"/>
  <c r="M132" i="4" s="1"/>
  <c r="N132" i="4" s="1"/>
  <c r="P132" i="4" s="1"/>
  <c r="B129" i="4"/>
  <c r="D129" i="4" s="1"/>
  <c r="B128" i="4"/>
  <c r="D128" i="4" s="1"/>
  <c r="K125" i="4"/>
  <c r="E125" i="4"/>
  <c r="H125" i="4" s="1"/>
  <c r="K124" i="4"/>
  <c r="E124" i="4"/>
  <c r="H124" i="4" s="1"/>
  <c r="I132" i="4" l="1"/>
  <c r="Q132" i="4" s="1"/>
  <c r="I134" i="4"/>
  <c r="Q134" i="4" s="1"/>
  <c r="M134" i="4"/>
  <c r="N134" i="4" s="1"/>
  <c r="P134" i="4" s="1"/>
  <c r="I133" i="4"/>
  <c r="Q133" i="4" s="1"/>
  <c r="M133" i="4"/>
  <c r="N133" i="4" s="1"/>
  <c r="P133" i="4" s="1"/>
  <c r="I125" i="4"/>
  <c r="Q125" i="4" s="1"/>
  <c r="I124" i="4"/>
  <c r="Q124" i="4" s="1"/>
  <c r="B127" i="4"/>
  <c r="D127" i="4" s="1"/>
  <c r="R124" i="4" s="1"/>
  <c r="M125" i="4"/>
  <c r="N125" i="4" s="1"/>
  <c r="P125" i="4" s="1"/>
  <c r="M124" i="4"/>
  <c r="N124" i="4" s="1"/>
  <c r="P124" i="4" s="1"/>
  <c r="T124" i="4" l="1"/>
  <c r="U124" i="4" s="1"/>
  <c r="T132" i="4"/>
  <c r="U132" i="4" s="1"/>
  <c r="K121" i="4" l="1"/>
  <c r="E121" i="4"/>
  <c r="H121" i="4" s="1"/>
  <c r="M121" i="4" s="1"/>
  <c r="N121" i="4" s="1"/>
  <c r="K120" i="4"/>
  <c r="E120" i="4"/>
  <c r="H120" i="4" s="1"/>
  <c r="M120" i="4" s="1"/>
  <c r="N120" i="4" s="1"/>
  <c r="K119" i="4"/>
  <c r="E119" i="4"/>
  <c r="H119" i="4" s="1"/>
  <c r="K116" i="4"/>
  <c r="E116" i="4"/>
  <c r="R114" i="4" s="1"/>
  <c r="K115" i="4"/>
  <c r="E115" i="4"/>
  <c r="H115" i="4" s="1"/>
  <c r="K114" i="4"/>
  <c r="E114" i="4"/>
  <c r="H114" i="4" s="1"/>
  <c r="M114" i="4" s="1"/>
  <c r="H116" i="4" l="1"/>
  <c r="M116" i="4" s="1"/>
  <c r="R119" i="4"/>
  <c r="I119" i="4"/>
  <c r="Q119" i="4" s="1"/>
  <c r="M119" i="4"/>
  <c r="N119" i="4" s="1"/>
  <c r="P119" i="4" s="1"/>
  <c r="I120" i="4"/>
  <c r="Q120" i="4" s="1"/>
  <c r="P120" i="4"/>
  <c r="I121" i="4"/>
  <c r="Q121" i="4" s="1"/>
  <c r="P121" i="4"/>
  <c r="I115" i="4"/>
  <c r="Q115" i="4" s="1"/>
  <c r="I114" i="4"/>
  <c r="Q114" i="4" s="1"/>
  <c r="I116" i="4" l="1"/>
  <c r="Q116" i="4" s="1"/>
  <c r="N116" i="4"/>
  <c r="P116" i="4" s="1"/>
  <c r="N114" i="4"/>
  <c r="P114" i="4" s="1"/>
  <c r="N115" i="4"/>
  <c r="P115" i="4" s="1"/>
  <c r="T119" i="4"/>
  <c r="U119" i="4" s="1"/>
  <c r="T114" i="4" l="1"/>
  <c r="U114" i="4" s="1"/>
  <c r="K111" i="4" l="1"/>
  <c r="E111" i="4"/>
  <c r="H111" i="4" s="1"/>
  <c r="K110" i="4"/>
  <c r="E110" i="4"/>
  <c r="H110" i="4" s="1"/>
  <c r="K109" i="4"/>
  <c r="E109" i="4"/>
  <c r="K97" i="4"/>
  <c r="E97" i="4"/>
  <c r="H97" i="4" s="1"/>
  <c r="K96" i="4"/>
  <c r="E96" i="4"/>
  <c r="H96" i="4" s="1"/>
  <c r="K95" i="4"/>
  <c r="E95" i="4"/>
  <c r="H95" i="4" s="1"/>
  <c r="H109" i="4" l="1"/>
  <c r="R109" i="4"/>
  <c r="M109" i="4"/>
  <c r="I109" i="4"/>
  <c r="Q109" i="4" s="1"/>
  <c r="I110" i="4"/>
  <c r="Q110" i="4" s="1"/>
  <c r="M110" i="4"/>
  <c r="I111" i="4"/>
  <c r="Q111" i="4" s="1"/>
  <c r="M111" i="4"/>
  <c r="I95" i="4"/>
  <c r="Q95" i="4" s="1"/>
  <c r="M95" i="4"/>
  <c r="N95" i="4" s="1"/>
  <c r="P95" i="4" s="1"/>
  <c r="M97" i="4"/>
  <c r="N97" i="4" s="1"/>
  <c r="P97" i="4" s="1"/>
  <c r="I97" i="4"/>
  <c r="Q97" i="4" s="1"/>
  <c r="M96" i="4"/>
  <c r="N96" i="4" s="1"/>
  <c r="P96" i="4" s="1"/>
  <c r="I96" i="4"/>
  <c r="Q96" i="4" s="1"/>
  <c r="N110" i="4" l="1"/>
  <c r="P110" i="4" s="1"/>
  <c r="N111" i="4"/>
  <c r="P111" i="4" s="1"/>
  <c r="N109" i="4"/>
  <c r="P109" i="4" s="1"/>
  <c r="T95" i="4"/>
  <c r="U95" i="4" s="1"/>
  <c r="K93" i="4"/>
  <c r="E93" i="4"/>
  <c r="H93" i="4" s="1"/>
  <c r="M93" i="4" s="1"/>
  <c r="N93" i="4" s="1"/>
  <c r="K92" i="4"/>
  <c r="E92" i="4"/>
  <c r="H92" i="4" s="1"/>
  <c r="M92" i="4" s="1"/>
  <c r="N92" i="4" s="1"/>
  <c r="K91" i="4"/>
  <c r="E91" i="4"/>
  <c r="H91" i="4" s="1"/>
  <c r="T109" i="4" l="1"/>
  <c r="U109" i="4" s="1"/>
  <c r="I91" i="4"/>
  <c r="Q91" i="4" s="1"/>
  <c r="M91" i="4"/>
  <c r="N91" i="4" s="1"/>
  <c r="P91" i="4" s="1"/>
  <c r="I92" i="4"/>
  <c r="Q92" i="4" s="1"/>
  <c r="P92" i="4"/>
  <c r="I93" i="4"/>
  <c r="Q93" i="4" s="1"/>
  <c r="P93" i="4"/>
  <c r="T91" i="4" l="1"/>
  <c r="U91" i="4" s="1"/>
  <c r="K89" i="4" l="1"/>
  <c r="E89" i="4"/>
  <c r="H89" i="4" s="1"/>
  <c r="K88" i="4"/>
  <c r="E88" i="4"/>
  <c r="H88" i="4" s="1"/>
  <c r="K87" i="4"/>
  <c r="E87" i="4"/>
  <c r="H87" i="4" s="1"/>
  <c r="M87" i="4" s="1"/>
  <c r="N87" i="4" s="1"/>
  <c r="R83" i="4"/>
  <c r="K85" i="4"/>
  <c r="E85" i="4"/>
  <c r="H85" i="4" s="1"/>
  <c r="K84" i="4"/>
  <c r="E84" i="4"/>
  <c r="H84" i="4" s="1"/>
  <c r="M84" i="4" s="1"/>
  <c r="N84" i="4" s="1"/>
  <c r="P84" i="4" s="1"/>
  <c r="K83" i="4"/>
  <c r="E83" i="4"/>
  <c r="H83" i="4" l="1"/>
  <c r="M83" i="4" s="1"/>
  <c r="N83" i="4" s="1"/>
  <c r="P83" i="4" s="1"/>
  <c r="M88" i="4"/>
  <c r="N88" i="4" s="1"/>
  <c r="P88" i="4" s="1"/>
  <c r="I88" i="4"/>
  <c r="Q88" i="4" s="1"/>
  <c r="I89" i="4"/>
  <c r="Q89" i="4" s="1"/>
  <c r="M89" i="4"/>
  <c r="N89" i="4" s="1"/>
  <c r="P89" i="4" s="1"/>
  <c r="P87" i="4"/>
  <c r="I87" i="4"/>
  <c r="Q87" i="4" s="1"/>
  <c r="I84" i="4"/>
  <c r="Q84" i="4" s="1"/>
  <c r="M85" i="4"/>
  <c r="N85" i="4" s="1"/>
  <c r="P85" i="4" s="1"/>
  <c r="I85" i="4"/>
  <c r="Q85" i="4" s="1"/>
  <c r="L41" i="1"/>
  <c r="I83" i="4" l="1"/>
  <c r="Q83" i="4" s="1"/>
  <c r="T83" i="4" s="1"/>
  <c r="U83" i="4" s="1"/>
  <c r="T87" i="4"/>
  <c r="U87" i="4" s="1"/>
  <c r="L43" i="1" l="1"/>
  <c r="I43" i="1"/>
  <c r="D43" i="1"/>
  <c r="K43" i="1" s="1"/>
  <c r="S43" i="1" l="1"/>
  <c r="M43" i="1"/>
  <c r="N43" i="1" s="1"/>
  <c r="P43" i="1" s="1"/>
  <c r="Q43" i="1" s="1"/>
  <c r="G43" i="1"/>
  <c r="R43" i="1" s="1"/>
  <c r="C6" i="12"/>
  <c r="C5" i="12"/>
  <c r="C4" i="12"/>
  <c r="F3" i="12"/>
  <c r="H3" i="12" s="1"/>
  <c r="F2" i="12"/>
  <c r="M2" i="12" s="1"/>
  <c r="K2" i="11"/>
  <c r="D2" i="11"/>
  <c r="F4" i="11"/>
  <c r="L4" i="11" s="1"/>
  <c r="F3" i="11"/>
  <c r="H3" i="11" s="1"/>
  <c r="F2" i="11"/>
  <c r="L2" i="11" s="1"/>
  <c r="K2" i="12" l="1"/>
  <c r="H2" i="12"/>
  <c r="H2" i="11"/>
  <c r="L3" i="11"/>
  <c r="O2" i="11" s="1"/>
  <c r="P2" i="11" s="1"/>
  <c r="H4" i="11"/>
  <c r="U43" i="1"/>
  <c r="V43" i="1" s="1"/>
  <c r="L2" i="12"/>
  <c r="L3" i="12"/>
  <c r="O2" i="12" l="1"/>
  <c r="P2" i="12" s="1"/>
  <c r="L42" i="1" l="1"/>
  <c r="I42" i="1"/>
  <c r="D42" i="1"/>
  <c r="K42" i="1" s="1"/>
  <c r="I41" i="1"/>
  <c r="D41" i="1"/>
  <c r="L40" i="1"/>
  <c r="I40" i="1"/>
  <c r="D40" i="1"/>
  <c r="G40" i="1" s="1"/>
  <c r="K41" i="1" l="1"/>
  <c r="S41" i="1"/>
  <c r="G41" i="1"/>
  <c r="R41" i="1" s="1"/>
  <c r="M41" i="1"/>
  <c r="N41" i="1" s="1"/>
  <c r="P41" i="1" s="1"/>
  <c r="Q41" i="1" s="1"/>
  <c r="M42" i="1"/>
  <c r="N42" i="1" s="1"/>
  <c r="P42" i="1" s="1"/>
  <c r="Q42" i="1" s="1"/>
  <c r="R40" i="1"/>
  <c r="S40" i="1"/>
  <c r="K40" i="1"/>
  <c r="G42" i="1"/>
  <c r="R42" i="1" s="1"/>
  <c r="S42" i="1"/>
  <c r="M40" i="1" l="1"/>
  <c r="N40" i="1" s="1"/>
  <c r="P40" i="1" s="1"/>
  <c r="U42" i="1"/>
  <c r="V42" i="1" s="1"/>
  <c r="U41" i="1"/>
  <c r="V41" i="1" s="1"/>
  <c r="Q40" i="1" l="1"/>
  <c r="U40" i="1"/>
  <c r="V40" i="1" s="1"/>
  <c r="K81" i="4" l="1"/>
  <c r="E81" i="4"/>
  <c r="H81" i="4" s="1"/>
  <c r="K80" i="4"/>
  <c r="E80" i="4"/>
  <c r="H80" i="4" s="1"/>
  <c r="R79" i="4"/>
  <c r="K79" i="4"/>
  <c r="E79" i="4"/>
  <c r="H79" i="4" s="1"/>
  <c r="M79" i="4" s="1"/>
  <c r="N79" i="4" s="1"/>
  <c r="K77" i="4"/>
  <c r="E77" i="4"/>
  <c r="H77" i="4" s="1"/>
  <c r="K76" i="4"/>
  <c r="E76" i="4"/>
  <c r="H76" i="4" s="1"/>
  <c r="K75" i="4"/>
  <c r="E75" i="4"/>
  <c r="H75" i="4" s="1"/>
  <c r="I81" i="4" l="1"/>
  <c r="Q81" i="4" s="1"/>
  <c r="M81" i="4"/>
  <c r="N81" i="4" s="1"/>
  <c r="P81" i="4" s="1"/>
  <c r="M80" i="4"/>
  <c r="N80" i="4" s="1"/>
  <c r="P80" i="4" s="1"/>
  <c r="I80" i="4"/>
  <c r="Q80" i="4" s="1"/>
  <c r="I79" i="4"/>
  <c r="Q79" i="4" s="1"/>
  <c r="P79" i="4"/>
  <c r="I76" i="4"/>
  <c r="Q76" i="4" s="1"/>
  <c r="M76" i="4"/>
  <c r="N76" i="4" s="1"/>
  <c r="P76" i="4" s="1"/>
  <c r="I77" i="4"/>
  <c r="Q77" i="4" s="1"/>
  <c r="M77" i="4"/>
  <c r="N77" i="4" s="1"/>
  <c r="P77" i="4" s="1"/>
  <c r="M75" i="4"/>
  <c r="N75" i="4" s="1"/>
  <c r="P75" i="4" s="1"/>
  <c r="I75" i="4"/>
  <c r="Q75" i="4" s="1"/>
  <c r="T79" i="4" l="1"/>
  <c r="U79" i="4" s="1"/>
  <c r="T75" i="4"/>
  <c r="U75" i="4" s="1"/>
  <c r="K73" i="4" l="1"/>
  <c r="E73" i="4"/>
  <c r="H73" i="4" s="1"/>
  <c r="K72" i="4"/>
  <c r="E72" i="4"/>
  <c r="H72" i="4" s="1"/>
  <c r="R71" i="4"/>
  <c r="K71" i="4"/>
  <c r="E71" i="4"/>
  <c r="H71" i="4" s="1"/>
  <c r="I72" i="4" l="1"/>
  <c r="Q72" i="4" s="1"/>
  <c r="M72" i="4"/>
  <c r="N72" i="4" s="1"/>
  <c r="P72" i="4" s="1"/>
  <c r="I73" i="4"/>
  <c r="Q73" i="4" s="1"/>
  <c r="M73" i="4"/>
  <c r="N73" i="4" s="1"/>
  <c r="P73" i="4" s="1"/>
  <c r="I71" i="4"/>
  <c r="Q71" i="4" s="1"/>
  <c r="M71" i="4"/>
  <c r="N71" i="4" s="1"/>
  <c r="P71" i="4" s="1"/>
  <c r="T71" i="4" l="1"/>
  <c r="U71" i="4" s="1"/>
  <c r="R67" i="4" l="1"/>
  <c r="K69" i="4"/>
  <c r="E69" i="4"/>
  <c r="H69" i="4" s="1"/>
  <c r="K68" i="4"/>
  <c r="E68" i="4"/>
  <c r="H68" i="4" s="1"/>
  <c r="K67" i="4"/>
  <c r="E67" i="4"/>
  <c r="H67" i="4" s="1"/>
  <c r="M67" i="4" l="1"/>
  <c r="N67" i="4" s="1"/>
  <c r="P67" i="4" s="1"/>
  <c r="I67" i="4"/>
  <c r="Q67" i="4" s="1"/>
  <c r="M68" i="4"/>
  <c r="N68" i="4" s="1"/>
  <c r="P68" i="4" s="1"/>
  <c r="M69" i="4"/>
  <c r="N69" i="4" s="1"/>
  <c r="P69" i="4" s="1"/>
  <c r="I68" i="4"/>
  <c r="Q68" i="4" s="1"/>
  <c r="I69" i="4"/>
  <c r="Q69" i="4" s="1"/>
  <c r="T67" i="4" l="1"/>
  <c r="U67" i="4" s="1"/>
  <c r="K65" i="4"/>
  <c r="E65" i="4"/>
  <c r="H65" i="4" s="1"/>
  <c r="K64" i="4"/>
  <c r="E64" i="4"/>
  <c r="H64" i="4" s="1"/>
  <c r="K63" i="4"/>
  <c r="E63" i="4"/>
  <c r="H63" i="4" s="1"/>
  <c r="M63" i="4" s="1"/>
  <c r="N63" i="4" s="1"/>
  <c r="M64" i="4" l="1"/>
  <c r="N64" i="4" s="1"/>
  <c r="P64" i="4" s="1"/>
  <c r="I64" i="4"/>
  <c r="Q64" i="4" s="1"/>
  <c r="R63" i="4"/>
  <c r="I65" i="4"/>
  <c r="Q65" i="4" s="1"/>
  <c r="M65" i="4"/>
  <c r="N65" i="4" s="1"/>
  <c r="P65" i="4" s="1"/>
  <c r="I63" i="4"/>
  <c r="Q63" i="4" s="1"/>
  <c r="P63" i="4"/>
  <c r="T63" i="4" l="1"/>
  <c r="U63" i="4" s="1"/>
  <c r="K61" i="4" l="1"/>
  <c r="E61" i="4"/>
  <c r="H61" i="4" s="1"/>
  <c r="R59" i="4" s="1"/>
  <c r="K60" i="4"/>
  <c r="E60" i="4"/>
  <c r="H60" i="4" s="1"/>
  <c r="K59" i="4"/>
  <c r="E59" i="4"/>
  <c r="H59" i="4" s="1"/>
  <c r="I60" i="4" l="1"/>
  <c r="Q60" i="4" s="1"/>
  <c r="M60" i="4"/>
  <c r="N60" i="4" s="1"/>
  <c r="P60" i="4" s="1"/>
  <c r="M59" i="4"/>
  <c r="N59" i="4" s="1"/>
  <c r="P59" i="4" s="1"/>
  <c r="I59" i="4"/>
  <c r="Q59" i="4" s="1"/>
  <c r="I61" i="4"/>
  <c r="Q61" i="4" s="1"/>
  <c r="M61" i="4"/>
  <c r="N61" i="4" s="1"/>
  <c r="P61" i="4" s="1"/>
  <c r="T59" i="4" l="1"/>
  <c r="U59" i="4" s="1"/>
  <c r="K57" i="4" l="1"/>
  <c r="E57" i="4"/>
  <c r="H57" i="4" s="1"/>
  <c r="R55" i="4" s="1"/>
  <c r="K56" i="4"/>
  <c r="E56" i="4"/>
  <c r="H56" i="4" s="1"/>
  <c r="K55" i="4"/>
  <c r="E55" i="4"/>
  <c r="H55" i="4" s="1"/>
  <c r="M56" i="4" l="1"/>
  <c r="N56" i="4" s="1"/>
  <c r="P56" i="4" s="1"/>
  <c r="I56" i="4"/>
  <c r="Q56" i="4" s="1"/>
  <c r="M57" i="4"/>
  <c r="N57" i="4" s="1"/>
  <c r="P57" i="4" s="1"/>
  <c r="I57" i="4"/>
  <c r="Q57" i="4" s="1"/>
  <c r="M55" i="4"/>
  <c r="N55" i="4" s="1"/>
  <c r="P55" i="4" s="1"/>
  <c r="I55" i="4"/>
  <c r="Q55" i="4" s="1"/>
  <c r="T55" i="4" l="1"/>
  <c r="U55" i="4" s="1"/>
  <c r="K53" i="4" l="1"/>
  <c r="E53" i="4"/>
  <c r="H53" i="4" s="1"/>
  <c r="R51" i="4" s="1"/>
  <c r="K52" i="4"/>
  <c r="E52" i="4"/>
  <c r="H52" i="4" s="1"/>
  <c r="K51" i="4"/>
  <c r="E51" i="4"/>
  <c r="H51" i="4" s="1"/>
  <c r="I52" i="4" l="1"/>
  <c r="Q52" i="4" s="1"/>
  <c r="M52" i="4"/>
  <c r="N52" i="4" s="1"/>
  <c r="P52" i="4" s="1"/>
  <c r="I51" i="4"/>
  <c r="Q51" i="4" s="1"/>
  <c r="M51" i="4"/>
  <c r="N51" i="4" s="1"/>
  <c r="P51" i="4" s="1"/>
  <c r="I53" i="4"/>
  <c r="Q53" i="4" s="1"/>
  <c r="M53" i="4"/>
  <c r="N53" i="4" s="1"/>
  <c r="P53" i="4" s="1"/>
  <c r="T51" i="4" l="1"/>
  <c r="U51" i="4" s="1"/>
  <c r="K47" i="4" l="1"/>
  <c r="E47" i="4"/>
  <c r="H47" i="4" s="1"/>
  <c r="R45" i="4" s="1"/>
  <c r="K46" i="4"/>
  <c r="E46" i="4"/>
  <c r="H46" i="4" s="1"/>
  <c r="K49" i="4"/>
  <c r="E49" i="4"/>
  <c r="H49" i="4" s="1"/>
  <c r="M49" i="4" s="1"/>
  <c r="N49" i="4" s="1"/>
  <c r="K48" i="4"/>
  <c r="E48" i="4"/>
  <c r="H48" i="4" s="1"/>
  <c r="M48" i="4" s="1"/>
  <c r="N48" i="4" s="1"/>
  <c r="K45" i="4"/>
  <c r="E45" i="4"/>
  <c r="H45" i="4" s="1"/>
  <c r="M47" i="4" l="1"/>
  <c r="N47" i="4" s="1"/>
  <c r="P47" i="4" s="1"/>
  <c r="I47" i="4"/>
  <c r="Q47" i="4" s="1"/>
  <c r="I46" i="4"/>
  <c r="Q46" i="4" s="1"/>
  <c r="M46" i="4"/>
  <c r="N46" i="4" s="1"/>
  <c r="P46" i="4" s="1"/>
  <c r="I45" i="4"/>
  <c r="Q45" i="4" s="1"/>
  <c r="M45" i="4"/>
  <c r="N45" i="4" s="1"/>
  <c r="P45" i="4" s="1"/>
  <c r="I48" i="4"/>
  <c r="Q48" i="4" s="1"/>
  <c r="P48" i="4"/>
  <c r="I49" i="4"/>
  <c r="Q49" i="4" s="1"/>
  <c r="P49" i="4"/>
  <c r="K43" i="4"/>
  <c r="E43" i="4"/>
  <c r="H43" i="4" s="1"/>
  <c r="K42" i="4"/>
  <c r="E42" i="4"/>
  <c r="H42" i="4" s="1"/>
  <c r="R41" i="4"/>
  <c r="K41" i="4"/>
  <c r="E41" i="4"/>
  <c r="H41" i="4" s="1"/>
  <c r="R37" i="4"/>
  <c r="K39" i="4"/>
  <c r="E39" i="4"/>
  <c r="H39" i="4" s="1"/>
  <c r="K38" i="4"/>
  <c r="E38" i="4"/>
  <c r="H38" i="4" s="1"/>
  <c r="K37" i="4"/>
  <c r="E37" i="4"/>
  <c r="H37" i="4" s="1"/>
  <c r="M37" i="4" s="1"/>
  <c r="N37" i="4" s="1"/>
  <c r="P37" i="4" s="1"/>
  <c r="K35" i="4"/>
  <c r="E35" i="4"/>
  <c r="H35" i="4" s="1"/>
  <c r="K34" i="4"/>
  <c r="E34" i="4"/>
  <c r="H34" i="4" s="1"/>
  <c r="K33" i="4"/>
  <c r="E33" i="4"/>
  <c r="H33" i="4" s="1"/>
  <c r="K31" i="4"/>
  <c r="E31" i="4"/>
  <c r="H31" i="4" s="1"/>
  <c r="K30" i="4"/>
  <c r="E30" i="4"/>
  <c r="H30" i="4" s="1"/>
  <c r="K29" i="4"/>
  <c r="E29" i="4"/>
  <c r="H29" i="4" s="1"/>
  <c r="T45" i="4" l="1"/>
  <c r="U45" i="4" s="1"/>
  <c r="I37" i="4"/>
  <c r="Q37" i="4" s="1"/>
  <c r="I42" i="4"/>
  <c r="Q42" i="4" s="1"/>
  <c r="M42" i="4"/>
  <c r="N42" i="4" s="1"/>
  <c r="P42" i="4" s="1"/>
  <c r="I41" i="4"/>
  <c r="Q41" i="4" s="1"/>
  <c r="M41" i="4"/>
  <c r="N41" i="4" s="1"/>
  <c r="P41" i="4" s="1"/>
  <c r="I43" i="4"/>
  <c r="Q43" i="4" s="1"/>
  <c r="M43" i="4"/>
  <c r="N43" i="4" s="1"/>
  <c r="P43" i="4" s="1"/>
  <c r="I39" i="4"/>
  <c r="Q39" i="4" s="1"/>
  <c r="M39" i="4"/>
  <c r="N39" i="4" s="1"/>
  <c r="P39" i="4" s="1"/>
  <c r="I38" i="4"/>
  <c r="Q38" i="4" s="1"/>
  <c r="M38" i="4"/>
  <c r="N38" i="4" s="1"/>
  <c r="P38" i="4" s="1"/>
  <c r="I34" i="4"/>
  <c r="Q34" i="4" s="1"/>
  <c r="M34" i="4"/>
  <c r="N34" i="4" s="1"/>
  <c r="P34" i="4" s="1"/>
  <c r="M33" i="4"/>
  <c r="N33" i="4" s="1"/>
  <c r="P33" i="4" s="1"/>
  <c r="I33" i="4"/>
  <c r="Q33" i="4" s="1"/>
  <c r="I35" i="4"/>
  <c r="Q35" i="4" s="1"/>
  <c r="M35" i="4"/>
  <c r="N35" i="4" s="1"/>
  <c r="P35" i="4" s="1"/>
  <c r="M29" i="4"/>
  <c r="N29" i="4" s="1"/>
  <c r="P29" i="4" s="1"/>
  <c r="I29" i="4"/>
  <c r="Q29" i="4" s="1"/>
  <c r="M30" i="4"/>
  <c r="N30" i="4" s="1"/>
  <c r="P30" i="4" s="1"/>
  <c r="M31" i="4"/>
  <c r="N31" i="4" s="1"/>
  <c r="P31" i="4" s="1"/>
  <c r="I30" i="4"/>
  <c r="Q30" i="4" s="1"/>
  <c r="I31" i="4"/>
  <c r="Q31" i="4" s="1"/>
  <c r="T41" i="4" l="1"/>
  <c r="U41" i="4" s="1"/>
  <c r="T37" i="4"/>
  <c r="U37" i="4" s="1"/>
  <c r="T33" i="4"/>
  <c r="U33" i="4" s="1"/>
  <c r="T29" i="4"/>
  <c r="U29" i="4" s="1"/>
  <c r="N34" i="2"/>
  <c r="N32" i="2"/>
  <c r="E32" i="2" l="1"/>
  <c r="H32" i="2" s="1"/>
  <c r="K32" i="2"/>
  <c r="S32" i="2" s="1"/>
  <c r="E33" i="2"/>
  <c r="M33" i="2" s="1"/>
  <c r="O33" i="2" s="1"/>
  <c r="K33" i="2"/>
  <c r="E34" i="2"/>
  <c r="H34" i="2" s="1"/>
  <c r="T32" i="2" s="1"/>
  <c r="K34" i="2"/>
  <c r="H33" i="2" l="1"/>
  <c r="I33" i="2" s="1"/>
  <c r="S33" i="2" s="1"/>
  <c r="P33" i="2"/>
  <c r="R33" i="2" s="1"/>
  <c r="I34" i="2"/>
  <c r="S34" i="2" s="1"/>
  <c r="M34" i="2"/>
  <c r="O34" i="2" s="1"/>
  <c r="M32" i="2"/>
  <c r="O32" i="2" s="1"/>
  <c r="P32" i="2" l="1"/>
  <c r="R32" i="2" s="1"/>
  <c r="P34" i="2"/>
  <c r="R34" i="2" s="1"/>
  <c r="V32" i="2" l="1"/>
  <c r="W32" i="2" s="1"/>
  <c r="D2" i="9" l="1"/>
  <c r="F2" i="9" l="1"/>
  <c r="J2" i="9"/>
  <c r="N2" i="9" s="1"/>
  <c r="M2" i="9" s="1"/>
  <c r="K27" i="4"/>
  <c r="E27" i="4"/>
  <c r="H27" i="4" s="1"/>
  <c r="K26" i="4"/>
  <c r="E26" i="4"/>
  <c r="H26" i="4" s="1"/>
  <c r="K25" i="4"/>
  <c r="E25" i="4"/>
  <c r="H25" i="4" s="1"/>
  <c r="M25" i="4" s="1"/>
  <c r="N25" i="4" s="1"/>
  <c r="K23" i="4"/>
  <c r="E23" i="4"/>
  <c r="H23" i="4" s="1"/>
  <c r="R21" i="4" s="1"/>
  <c r="K22" i="4"/>
  <c r="E22" i="4"/>
  <c r="H22" i="4" s="1"/>
  <c r="K21" i="4"/>
  <c r="E21" i="4"/>
  <c r="H21" i="4" s="1"/>
  <c r="R25" i="4" l="1"/>
  <c r="I26" i="4"/>
  <c r="Q26" i="4" s="1"/>
  <c r="M26" i="4"/>
  <c r="N26" i="4" s="1"/>
  <c r="P26" i="4" s="1"/>
  <c r="M27" i="4"/>
  <c r="N27" i="4" s="1"/>
  <c r="P27" i="4" s="1"/>
  <c r="I27" i="4"/>
  <c r="Q27" i="4" s="1"/>
  <c r="P25" i="4"/>
  <c r="I25" i="4"/>
  <c r="Q25" i="4" s="1"/>
  <c r="I22" i="4"/>
  <c r="Q22" i="4" s="1"/>
  <c r="M22" i="4"/>
  <c r="N22" i="4" s="1"/>
  <c r="P22" i="4" s="1"/>
  <c r="I23" i="4"/>
  <c r="Q23" i="4" s="1"/>
  <c r="M23" i="4"/>
  <c r="N23" i="4" s="1"/>
  <c r="P23" i="4" s="1"/>
  <c r="M21" i="4"/>
  <c r="N21" i="4" s="1"/>
  <c r="P21" i="4" s="1"/>
  <c r="I21" i="4"/>
  <c r="Q21" i="4" s="1"/>
  <c r="T21" i="4" l="1"/>
  <c r="U21" i="4" s="1"/>
  <c r="T25" i="4"/>
  <c r="U25" i="4" s="1"/>
  <c r="T23" i="2" l="1"/>
  <c r="N25" i="2"/>
  <c r="N24" i="2"/>
  <c r="N23" i="2"/>
  <c r="K25" i="2" l="1"/>
  <c r="E25" i="2"/>
  <c r="M25" i="2" s="1"/>
  <c r="O25" i="2" s="1"/>
  <c r="K24" i="2"/>
  <c r="E24" i="2"/>
  <c r="K23" i="2"/>
  <c r="E23" i="2"/>
  <c r="H23" i="2" s="1"/>
  <c r="I23" i="2" s="1"/>
  <c r="M24" i="2" l="1"/>
  <c r="O24" i="2" s="1"/>
  <c r="H24" i="2"/>
  <c r="I24" i="2" s="1"/>
  <c r="S23" i="2"/>
  <c r="S24" i="2"/>
  <c r="H25" i="2"/>
  <c r="I25" i="2" s="1"/>
  <c r="S25" i="2" s="1"/>
  <c r="P24" i="2"/>
  <c r="R24" i="2" s="1"/>
  <c r="P25" i="2"/>
  <c r="R25" i="2" s="1"/>
  <c r="M23" i="2"/>
  <c r="O23" i="2" s="1"/>
  <c r="P23" i="2" l="1"/>
  <c r="R23" i="2" s="1"/>
  <c r="V23" i="2" s="1"/>
  <c r="W23" i="2" s="1"/>
  <c r="T33" i="1" l="1"/>
  <c r="M34" i="1"/>
  <c r="M38" i="1" l="1"/>
  <c r="J38" i="1"/>
  <c r="C38" i="1"/>
  <c r="E38" i="1" s="1"/>
  <c r="L38" i="1" s="1"/>
  <c r="M37" i="1"/>
  <c r="J37" i="1"/>
  <c r="C37" i="1"/>
  <c r="E37" i="1" s="1"/>
  <c r="M36" i="1"/>
  <c r="J36" i="1"/>
  <c r="E36" i="1"/>
  <c r="L36" i="1" s="1"/>
  <c r="B36" i="1"/>
  <c r="N36" i="1" l="1"/>
  <c r="O36" i="1"/>
  <c r="Q36" i="1" s="1"/>
  <c r="R36" i="1" s="1"/>
  <c r="T37" i="1"/>
  <c r="L37" i="1"/>
  <c r="H37" i="1"/>
  <c r="N38" i="1"/>
  <c r="O38" i="1" s="1"/>
  <c r="Q38" i="1" s="1"/>
  <c r="R38" i="1" s="1"/>
  <c r="T36" i="1"/>
  <c r="T38" i="1"/>
  <c r="H36" i="1"/>
  <c r="X36" i="1" s="1"/>
  <c r="H38" i="1"/>
  <c r="X38" i="1" s="1"/>
  <c r="N37" i="1" l="1"/>
  <c r="O37" i="1" s="1"/>
  <c r="Q37" i="1" s="1"/>
  <c r="S36" i="1"/>
  <c r="V36" i="1" s="1"/>
  <c r="W36" i="1" s="1"/>
  <c r="X37" i="1"/>
  <c r="S37" i="1"/>
  <c r="S38" i="1"/>
  <c r="V38" i="1" s="1"/>
  <c r="W38" i="1" s="1"/>
  <c r="R37" i="1" l="1"/>
  <c r="V37" i="1"/>
  <c r="W37" i="1" s="1"/>
  <c r="M33" i="1" l="1"/>
  <c r="J34" i="1"/>
  <c r="E34" i="1"/>
  <c r="L34" i="1" s="1"/>
  <c r="N34" i="1" s="1"/>
  <c r="J33" i="1"/>
  <c r="E33" i="1"/>
  <c r="O34" i="1" l="1"/>
  <c r="H33" i="1"/>
  <c r="X33" i="1" s="1"/>
  <c r="L33" i="1"/>
  <c r="H34" i="1"/>
  <c r="S33" i="1" l="1"/>
  <c r="X34" i="1"/>
  <c r="S34" i="1"/>
  <c r="N33" i="1"/>
  <c r="O33" i="1" s="1"/>
  <c r="Q33" i="1" s="1"/>
  <c r="R33" i="1" l="1"/>
  <c r="V33" i="1"/>
  <c r="W33" i="1" s="1"/>
  <c r="M31" i="1" l="1"/>
  <c r="J31" i="1"/>
  <c r="E31" i="1"/>
  <c r="L31" i="1" s="1"/>
  <c r="M30" i="1"/>
  <c r="J30" i="1"/>
  <c r="E30" i="1"/>
  <c r="T30" i="1" s="1"/>
  <c r="J28" i="1"/>
  <c r="E28" i="1"/>
  <c r="L28" i="1" s="1"/>
  <c r="N28" i="1" s="1"/>
  <c r="M27" i="1"/>
  <c r="J27" i="1"/>
  <c r="E27" i="1"/>
  <c r="M25" i="1"/>
  <c r="J25" i="1"/>
  <c r="E25" i="1"/>
  <c r="L25" i="1" s="1"/>
  <c r="M24" i="1"/>
  <c r="J24" i="1"/>
  <c r="E24" i="1"/>
  <c r="L24" i="1" s="1"/>
  <c r="M21" i="1"/>
  <c r="J22" i="1"/>
  <c r="E22" i="1"/>
  <c r="L22" i="1" s="1"/>
  <c r="J21" i="1"/>
  <c r="E21" i="1"/>
  <c r="L21" i="1" s="1"/>
  <c r="N21" i="1" s="1"/>
  <c r="H31" i="1" l="1"/>
  <c r="X31" i="1" s="1"/>
  <c r="T27" i="1"/>
  <c r="H28" i="1"/>
  <c r="X28" i="1" s="1"/>
  <c r="H30" i="1"/>
  <c r="X30" i="1" s="1"/>
  <c r="L30" i="1"/>
  <c r="T21" i="1"/>
  <c r="S28" i="1"/>
  <c r="H27" i="1"/>
  <c r="X27" i="1" s="1"/>
  <c r="L27" i="1"/>
  <c r="O27" i="1" s="1"/>
  <c r="N27" i="1"/>
  <c r="S27" i="1"/>
  <c r="O28" i="1"/>
  <c r="N30" i="1"/>
  <c r="O30" i="1" s="1"/>
  <c r="N31" i="1"/>
  <c r="O31" i="1" s="1"/>
  <c r="S31" i="1"/>
  <c r="N24" i="1"/>
  <c r="O24" i="1" s="1"/>
  <c r="N25" i="1"/>
  <c r="O25" i="1" s="1"/>
  <c r="T24" i="1"/>
  <c r="H24" i="1"/>
  <c r="X24" i="1" s="1"/>
  <c r="H25" i="1"/>
  <c r="X25" i="1" s="1"/>
  <c r="N22" i="1"/>
  <c r="O22" i="1" s="1"/>
  <c r="O21" i="1"/>
  <c r="H21" i="1"/>
  <c r="X21" i="1" s="1"/>
  <c r="H22" i="1"/>
  <c r="X22" i="1" s="1"/>
  <c r="S30" i="1" l="1"/>
  <c r="Q21" i="1"/>
  <c r="R21" i="1" s="1"/>
  <c r="Q24" i="1"/>
  <c r="R24" i="1" s="1"/>
  <c r="Q27" i="1"/>
  <c r="R27" i="1" s="1"/>
  <c r="Q30" i="1"/>
  <c r="S25" i="1"/>
  <c r="S24" i="1"/>
  <c r="V24" i="1" s="1"/>
  <c r="W24" i="1" s="1"/>
  <c r="S22" i="1"/>
  <c r="S21" i="1"/>
  <c r="V27" i="1" l="1"/>
  <c r="W27" i="1" s="1"/>
  <c r="R30" i="1"/>
  <c r="V30" i="1"/>
  <c r="W30" i="1" s="1"/>
  <c r="V21" i="1"/>
  <c r="W21" i="1" s="1"/>
  <c r="C2" i="8" l="1"/>
  <c r="I2" i="8" s="1"/>
  <c r="E2" i="8" l="1"/>
  <c r="M2" i="8" l="1"/>
  <c r="L2" i="8" s="1"/>
  <c r="J18" i="1" l="1"/>
  <c r="E18" i="1"/>
  <c r="L18" i="1" s="1"/>
  <c r="N18" i="1" s="1"/>
  <c r="J17" i="1"/>
  <c r="E17" i="1"/>
  <c r="T17" i="1" s="1"/>
  <c r="J15" i="1"/>
  <c r="E15" i="1"/>
  <c r="L15" i="1" s="1"/>
  <c r="J14" i="1"/>
  <c r="E14" i="1"/>
  <c r="L14" i="1" s="1"/>
  <c r="T14" i="1" l="1"/>
  <c r="H18" i="1"/>
  <c r="S18" i="1" s="1"/>
  <c r="X18" i="1"/>
  <c r="O18" i="1"/>
  <c r="H17" i="1"/>
  <c r="X17" i="1" s="1"/>
  <c r="L17" i="1"/>
  <c r="N14" i="1"/>
  <c r="O14" i="1" s="1"/>
  <c r="N15" i="1"/>
  <c r="O15" i="1" s="1"/>
  <c r="H14" i="1"/>
  <c r="X14" i="1" s="1"/>
  <c r="H15" i="1"/>
  <c r="X15" i="1" s="1"/>
  <c r="N17" i="1" l="1"/>
  <c r="O17" i="1" s="1"/>
  <c r="Q17" i="1" s="1"/>
  <c r="S17" i="1"/>
  <c r="Q14" i="1"/>
  <c r="R14" i="1" s="1"/>
  <c r="S15" i="1"/>
  <c r="S14" i="1"/>
  <c r="R17" i="1" l="1"/>
  <c r="V17" i="1"/>
  <c r="W17" i="1" s="1"/>
  <c r="V14" i="1"/>
  <c r="W14" i="1" s="1"/>
  <c r="M2" i="1" l="1"/>
  <c r="M11" i="1" l="1"/>
  <c r="J12" i="1"/>
  <c r="E12" i="1"/>
  <c r="L12" i="1" s="1"/>
  <c r="N12" i="1" s="1"/>
  <c r="J11" i="1"/>
  <c r="E11" i="1"/>
  <c r="L11" i="1" s="1"/>
  <c r="N11" i="1" s="1"/>
  <c r="T11" i="1" l="1"/>
  <c r="O12" i="1"/>
  <c r="H12" i="1"/>
  <c r="X12" i="1" s="1"/>
  <c r="O11" i="1"/>
  <c r="H11" i="1"/>
  <c r="X11" i="1" s="1"/>
  <c r="Q11" i="1" l="1"/>
  <c r="S12" i="1"/>
  <c r="S11" i="1"/>
  <c r="R11" i="1" l="1"/>
  <c r="V11" i="1"/>
  <c r="W11" i="1" s="1"/>
  <c r="M8" i="1" l="1"/>
  <c r="J8" i="1"/>
  <c r="E8" i="1"/>
  <c r="T8" i="1" s="1"/>
  <c r="H8" i="1" l="1"/>
  <c r="X8" i="1" s="1"/>
  <c r="L8" i="1"/>
  <c r="N8" i="1" s="1"/>
  <c r="O8" i="1" s="1"/>
  <c r="Q8" i="1" s="1"/>
  <c r="S8" i="1"/>
  <c r="R8" i="1" l="1"/>
  <c r="V8" i="1"/>
  <c r="W8" i="1" s="1"/>
  <c r="M5" i="1" l="1"/>
  <c r="J5" i="1"/>
  <c r="E5" i="1"/>
  <c r="L5" i="1" l="1"/>
  <c r="N5" i="1" s="1"/>
  <c r="O5" i="1" s="1"/>
  <c r="Q5" i="1" s="1"/>
  <c r="R5" i="1" s="1"/>
  <c r="T5" i="1"/>
  <c r="H5" i="1"/>
  <c r="X5" i="1" s="1"/>
  <c r="S5" i="1" l="1"/>
  <c r="V5" i="1" s="1"/>
  <c r="W5" i="1" s="1"/>
  <c r="K4" i="4"/>
  <c r="E4" i="4"/>
  <c r="K3" i="4"/>
  <c r="E3" i="4"/>
  <c r="K2" i="4"/>
  <c r="E2" i="4"/>
  <c r="K5" i="2"/>
  <c r="K4" i="2"/>
  <c r="K3" i="2"/>
  <c r="N3" i="2"/>
  <c r="N5" i="2"/>
  <c r="E5" i="2"/>
  <c r="M5" i="2" s="1"/>
  <c r="O5" i="2" s="1"/>
  <c r="E4" i="2"/>
  <c r="M4" i="2" s="1"/>
  <c r="O4" i="2" s="1"/>
  <c r="E3" i="2"/>
  <c r="M3" i="2" s="1"/>
  <c r="O3" i="2" s="1"/>
  <c r="H4" i="4" l="1"/>
  <c r="H2" i="4"/>
  <c r="H3" i="4"/>
  <c r="H5" i="2"/>
  <c r="H4" i="2"/>
  <c r="I4" i="2" s="1"/>
  <c r="S4" i="2" s="1"/>
  <c r="H3" i="2"/>
  <c r="I3" i="2" s="1"/>
  <c r="S3" i="2" s="1"/>
  <c r="P3" i="2"/>
  <c r="R3" i="2" s="1"/>
  <c r="P4" i="2"/>
  <c r="R4" i="2" s="1"/>
  <c r="P5" i="2"/>
  <c r="R5" i="2" s="1"/>
  <c r="M3" i="4" l="1"/>
  <c r="N3" i="4" s="1"/>
  <c r="P3" i="4" s="1"/>
  <c r="M4" i="4"/>
  <c r="N4" i="4" s="1"/>
  <c r="P4" i="4" s="1"/>
  <c r="M2" i="4"/>
  <c r="N2" i="4" s="1"/>
  <c r="P2" i="4" s="1"/>
  <c r="I3" i="4"/>
  <c r="Q3" i="4" s="1"/>
  <c r="I2" i="4"/>
  <c r="Q2" i="4" s="1"/>
  <c r="I4" i="4"/>
  <c r="Q4" i="4" s="1"/>
  <c r="R2" i="4"/>
  <c r="T3" i="2"/>
  <c r="I5" i="2"/>
  <c r="S5" i="2" s="1"/>
  <c r="J2" i="1"/>
  <c r="E2" i="1"/>
  <c r="V3" i="2" l="1"/>
  <c r="W3" i="2" s="1"/>
  <c r="T2" i="1"/>
  <c r="H2" i="1"/>
  <c r="S2" i="1" s="1"/>
  <c r="L2" i="1"/>
  <c r="N2" i="1" s="1"/>
  <c r="T2" i="4"/>
  <c r="U2" i="4" s="1"/>
  <c r="X2" i="1"/>
  <c r="O2" i="1" l="1"/>
  <c r="Q2" i="1" s="1"/>
  <c r="V2" i="1" s="1"/>
  <c r="R2" i="1" l="1"/>
  <c r="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2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цена офсет бум 1,51 за А3 умноженное на 1,35 и деленное на 2</t>
        </r>
        <r>
          <rPr>
            <sz val="9"/>
            <color indexed="81"/>
            <rFont val="Tahoma"/>
            <family val="2"/>
            <charset val="204"/>
          </rPr>
          <t xml:space="preserve">
Цену подогнала, чтобы за ед вышло ближе к 80 руб</t>
        </r>
      </text>
    </comment>
  </commentList>
</comments>
</file>

<file path=xl/sharedStrings.xml><?xml version="1.0" encoding="utf-8"?>
<sst xmlns="http://schemas.openxmlformats.org/spreadsheetml/2006/main" count="1649" uniqueCount="148">
  <si>
    <t>наименование</t>
  </si>
  <si>
    <t>тираж</t>
  </si>
  <si>
    <t>Кол-во форматов на листе А3</t>
  </si>
  <si>
    <t>листов А3</t>
  </si>
  <si>
    <t>приладка</t>
  </si>
  <si>
    <t>листов А1 для Резчика</t>
  </si>
  <si>
    <t>Бумага, гр</t>
  </si>
  <si>
    <t>вес 1 листа в кг</t>
  </si>
  <si>
    <t>Цена бумаги за  лист А3</t>
  </si>
  <si>
    <t>ЦЕНА бумаги</t>
  </si>
  <si>
    <t>Химия и прочее</t>
  </si>
  <si>
    <t>стоимость прямых затрат</t>
  </si>
  <si>
    <t>Коэффициент</t>
  </si>
  <si>
    <t xml:space="preserve">Стоимость тиража </t>
  </si>
  <si>
    <t>стоимость   1 шт.</t>
  </si>
  <si>
    <t>транспортные расходы</t>
  </si>
  <si>
    <t>доп работы, если есть</t>
  </si>
  <si>
    <t>работа переплетного</t>
  </si>
  <si>
    <t>Стоимость тиража с доп работами</t>
  </si>
  <si>
    <t>вес заказа в кг</t>
  </si>
  <si>
    <t>Тираж</t>
  </si>
  <si>
    <t>кол-во печ/листов</t>
  </si>
  <si>
    <t>листов А3 всего</t>
  </si>
  <si>
    <t>пластины</t>
  </si>
  <si>
    <t>доп работы + ламина+картон</t>
  </si>
  <si>
    <t>брош. Работы</t>
  </si>
  <si>
    <t>Цена за экз.</t>
  </si>
  <si>
    <t>блок</t>
  </si>
  <si>
    <t>форзац</t>
  </si>
  <si>
    <t>обложка</t>
  </si>
  <si>
    <t>книга а5 формат 184 стр, 1+1</t>
  </si>
  <si>
    <r>
      <t xml:space="preserve">Нитки </t>
    </r>
    <r>
      <rPr>
        <sz val="11"/>
        <color theme="1"/>
        <rFont val="Calibri"/>
        <family val="2"/>
        <charset val="204"/>
        <scheme val="minor"/>
      </rPr>
      <t xml:space="preserve"> на 8 тетрадей. Длина стежком 20 мм, число стежков для формата А5 равен 3. На один блок издания: 20мм*3стежка*2(два сложения нить)*8 тетрадей=1280мм на 1 книгу*500 тираж=640 000 мм. Стоимость нитей: 659 руб/(бобина из 4000 метр)=0,16/м*640 м=105 руб</t>
    </r>
  </si>
  <si>
    <r>
      <t xml:space="preserve">Каптал </t>
    </r>
    <r>
      <rPr>
        <sz val="11"/>
        <color theme="1"/>
        <rFont val="Calibri"/>
        <family val="2"/>
        <charset val="204"/>
        <scheme val="minor"/>
      </rPr>
      <t xml:space="preserve"> 21 мм *2 (верх и низ). Стоимость за 1 метр 5 руб/1000*42мм=0,21 руб(т.е. 21 копейка) на 1 книгу. Тираж 500*0,21=105 руб.  </t>
    </r>
  </si>
  <si>
    <r>
      <t xml:space="preserve">Марля </t>
    </r>
    <r>
      <rPr>
        <sz val="11"/>
        <color theme="1"/>
        <rFont val="Calibri"/>
        <family val="2"/>
        <charset val="204"/>
        <scheme val="minor"/>
      </rPr>
      <t xml:space="preserve"> Размер 180*60мм на одно изделие. 0,18*0,06м*5 руб/м=0,054 *500 тираж=27 руб.</t>
    </r>
  </si>
  <si>
    <t>Клей</t>
  </si>
  <si>
    <t>ПЛАСТИНЫ 4+0/4+4</t>
  </si>
  <si>
    <t>Химия, расх. мат, упак.</t>
  </si>
  <si>
    <t>параметры</t>
  </si>
  <si>
    <t>Упаковочный материал</t>
  </si>
  <si>
    <t>цена печати</t>
  </si>
  <si>
    <t xml:space="preserve">Ст. прям. Расх. </t>
  </si>
  <si>
    <t>кол-во печатн листов</t>
  </si>
  <si>
    <t>кол-во пластин</t>
  </si>
  <si>
    <t>пакеет А4</t>
  </si>
  <si>
    <t>пакеет 200*150*55 мм (А5)</t>
  </si>
  <si>
    <t>кол-во печатных листов</t>
  </si>
  <si>
    <t xml:space="preserve">Книга формат а5, 184 стр, 1+1 (расчет на КМ 951) В химии заложен расходный материал </t>
  </si>
  <si>
    <t>магнит 70*100</t>
  </si>
  <si>
    <t>листов А4</t>
  </si>
  <si>
    <t>Цена печати А4</t>
  </si>
  <si>
    <t>цена за ед</t>
  </si>
  <si>
    <t>Сумма к оплате</t>
  </si>
  <si>
    <t>пакеет 300*400*120 мм  (А3)</t>
  </si>
  <si>
    <t>л/о</t>
  </si>
  <si>
    <t>боковины</t>
  </si>
  <si>
    <t>стоимость общая без доп работ</t>
  </si>
  <si>
    <t>биговка</t>
  </si>
  <si>
    <t>перепл работыъ</t>
  </si>
  <si>
    <t>2 сторона</t>
  </si>
  <si>
    <t>1 строна с тиснением</t>
  </si>
  <si>
    <t>пакеет 300*400  (А3)</t>
  </si>
  <si>
    <t>л</t>
  </si>
  <si>
    <t>пакеет 300*220*70 мм  горизонт(А3)</t>
  </si>
  <si>
    <t>кол-во бум при одинаковой печати сторон</t>
  </si>
  <si>
    <t>пакеет 200*150*55 мм (А5) нина</t>
  </si>
  <si>
    <t>пакеет 250*360*80 мм /1000 шт, одинаковые стороны</t>
  </si>
  <si>
    <t>пакеет 250*360*80 мм /5000 шт, одинаковые стороны</t>
  </si>
  <si>
    <t>пакеет 300*220*70 мм  4+0 для кп</t>
  </si>
  <si>
    <t>дизайн</t>
  </si>
  <si>
    <t>ламин</t>
  </si>
  <si>
    <t>плотер</t>
  </si>
  <si>
    <t>размер</t>
  </si>
  <si>
    <t>доставка+фальц</t>
  </si>
  <si>
    <t>Олег</t>
  </si>
  <si>
    <t>перепл работы</t>
  </si>
  <si>
    <t>Цена бумаги за  лист А4</t>
  </si>
  <si>
    <t>Кол-во форматов на листе А4</t>
  </si>
  <si>
    <t>Цена печати А3</t>
  </si>
  <si>
    <t>Сертификат А6</t>
  </si>
  <si>
    <t>Ангелина, 144 страницы, 120 вхи</t>
  </si>
  <si>
    <t>Регина, 40стр, артбук</t>
  </si>
  <si>
    <t>Дмитрий</t>
  </si>
  <si>
    <t>Светлана, термоклей</t>
  </si>
  <si>
    <t>Светлана, скоба</t>
  </si>
  <si>
    <t>Ирина Юсупова, книга на скобу</t>
  </si>
  <si>
    <t>блок 1+1</t>
  </si>
  <si>
    <t>блок 4+4</t>
  </si>
  <si>
    <t>блок 1+1 с вырубкой</t>
  </si>
  <si>
    <t>Ерохина Надежда, 304стр</t>
  </si>
  <si>
    <t>3100 итого</t>
  </si>
  <si>
    <t>Лера Газыева 88 стр, 120 вхи</t>
  </si>
  <si>
    <t>форзац 0+0</t>
  </si>
  <si>
    <t>обложка 4+0</t>
  </si>
  <si>
    <t>Валерий Николаевич, 35 книг А5, стр.216</t>
  </si>
  <si>
    <t>Чипышев Александр, 58 книг А5, стр.96</t>
  </si>
  <si>
    <t>Журнал учеб занятий, 210л, А4, 65гр оф.</t>
  </si>
  <si>
    <t>обложка бумв</t>
  </si>
  <si>
    <t>Книга, А4, 115гр мел мат, 331 стр</t>
  </si>
  <si>
    <t>подложка</t>
  </si>
  <si>
    <t>Тетрадь</t>
  </si>
  <si>
    <t>Изумруд Пакет А5 с ламинацией матовая 1+0</t>
  </si>
  <si>
    <t>Наименование</t>
  </si>
  <si>
    <t>блок на 50л</t>
  </si>
  <si>
    <t>Блокнот А5, 50 шт</t>
  </si>
  <si>
    <t>подложка б/п</t>
  </si>
  <si>
    <t>пружина</t>
  </si>
  <si>
    <t xml:space="preserve">Сумма </t>
  </si>
  <si>
    <t>Цена за ед.</t>
  </si>
  <si>
    <t>бумага</t>
  </si>
  <si>
    <t>80 офс</t>
  </si>
  <si>
    <t>300 гр</t>
  </si>
  <si>
    <t>Пакет А4, 30 шт, 4+0</t>
  </si>
  <si>
    <t>лицо</t>
  </si>
  <si>
    <t>оборот</t>
  </si>
  <si>
    <t>170 гр</t>
  </si>
  <si>
    <t>пикало/шнур/скотч</t>
  </si>
  <si>
    <t>шнур</t>
  </si>
  <si>
    <t>пикало</t>
  </si>
  <si>
    <t>скотч</t>
  </si>
  <si>
    <t>Пакет А4</t>
  </si>
  <si>
    <t>Ежедневник тв/п</t>
  </si>
  <si>
    <t>Ежедневник мяг/п</t>
  </si>
  <si>
    <t>ламинация</t>
  </si>
  <si>
    <t>Альбом переплет "бабочка"</t>
  </si>
  <si>
    <t>ИЗБИРКОМ БРОШЮРА Кристина</t>
  </si>
  <si>
    <t>1200 руб</t>
  </si>
  <si>
    <t>Брошюра Фонд развития промыш</t>
  </si>
  <si>
    <t>Владислава книга А5, 64 стр</t>
  </si>
  <si>
    <t>альбом, 3 разворота 200*200мм</t>
  </si>
  <si>
    <t>тираж 4 шт</t>
  </si>
  <si>
    <t>корка</t>
  </si>
  <si>
    <t>2-х ст скотч</t>
  </si>
  <si>
    <t>МОЙ БИЗНЕС</t>
  </si>
  <si>
    <t>ООО Реал-Строй</t>
  </si>
  <si>
    <t>Аквавит</t>
  </si>
  <si>
    <t>альбом, 4 разворота 200*300мм (в развороте 400*300мм)</t>
  </si>
  <si>
    <t>Макарова Дарья "СФЕРА"  книга А5, 64 стр</t>
  </si>
  <si>
    <t>альбом, 6 разворотов 200*300мм (в развороте 400*300мм)</t>
  </si>
  <si>
    <t>1 часть Книга / Худякова Е.А. ч/б</t>
  </si>
  <si>
    <t>2 часть Книга / Худякова Е.А. цветная</t>
  </si>
  <si>
    <t>2 часть Книга / Худякова Е.А. ч/б</t>
  </si>
  <si>
    <t>Марченко Блокнот А5, 100 шт</t>
  </si>
  <si>
    <t>Виноградова Кристина, книга А5, 152 стр, мяг/п</t>
  </si>
  <si>
    <t>ФНКАТ блокнот А5, 40 листов б/п</t>
  </si>
  <si>
    <t>Корнеев Алексей</t>
  </si>
  <si>
    <t>Кристина ФНКАТ</t>
  </si>
  <si>
    <t>блокнот Екатерина изберком</t>
  </si>
  <si>
    <t>РК Групп/брошюра А5 гп, 56 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</si>
</sst>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р_._-;\-* #,##0.00_р_._-;_-* &quot;-&quot;??_р_._-;_-@_-"/>
    <numFmt numFmtId="165" formatCode="0.000"/>
    <numFmt numFmtId="166" formatCode="#,##0.00&quot;р.&quot;"/>
    <numFmt numFmtId="167" formatCode="#,##0&quot;р.&quot;"/>
    <numFmt numFmtId="168" formatCode="0.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rgb="FF7030A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C00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7"/>
      <color theme="1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b/>
      <sz val="7"/>
      <color rgb="FFFF000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i/>
      <sz val="7"/>
      <color theme="1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404">
    <xf numFmtId="0" fontId="0" fillId="0" borderId="0" xfId="0"/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64" fontId="17" fillId="2" borderId="1" xfId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20" fillId="4" borderId="1" xfId="0" applyNumberFormat="1" applyFont="1" applyFill="1" applyBorder="1" applyAlignment="1">
      <alignment horizontal="center" wrapText="1"/>
    </xf>
    <xf numFmtId="3" fontId="17" fillId="4" borderId="1" xfId="0" applyNumberFormat="1" applyFont="1" applyFill="1" applyBorder="1" applyAlignment="1">
      <alignment horizontal="center" wrapText="1"/>
    </xf>
    <xf numFmtId="1" fontId="21" fillId="4" borderId="1" xfId="0" applyNumberFormat="1" applyFont="1" applyFill="1" applyBorder="1" applyAlignment="1">
      <alignment horizontal="center" wrapText="1"/>
    </xf>
    <xf numFmtId="1" fontId="17" fillId="4" borderId="1" xfId="0" applyNumberFormat="1" applyFont="1" applyFill="1" applyBorder="1" applyAlignment="1">
      <alignment horizontal="center" wrapText="1"/>
    </xf>
    <xf numFmtId="165" fontId="21" fillId="0" borderId="1" xfId="0" applyNumberFormat="1" applyFont="1" applyFill="1" applyBorder="1" applyAlignment="1">
      <alignment horizontal="center" wrapText="1"/>
    </xf>
    <xf numFmtId="166" fontId="22" fillId="3" borderId="1" xfId="0" applyNumberFormat="1" applyFont="1" applyFill="1" applyBorder="1" applyAlignment="1">
      <alignment horizontal="center" wrapText="1"/>
    </xf>
    <xf numFmtId="166" fontId="21" fillId="4" borderId="1" xfId="0" applyNumberFormat="1" applyFont="1" applyFill="1" applyBorder="1" applyAlignment="1">
      <alignment horizontal="center" wrapText="1"/>
    </xf>
    <xf numFmtId="167" fontId="22" fillId="4" borderId="1" xfId="0" applyNumberFormat="1" applyFont="1" applyFill="1" applyBorder="1" applyAlignment="1">
      <alignment horizontal="center" wrapText="1"/>
    </xf>
    <xf numFmtId="2" fontId="21" fillId="4" borderId="1" xfId="0" applyNumberFormat="1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 vertical="center"/>
    </xf>
    <xf numFmtId="167" fontId="24" fillId="4" borderId="1" xfId="0" applyNumberFormat="1" applyFont="1" applyFill="1" applyBorder="1" applyAlignment="1">
      <alignment horizontal="center" wrapText="1"/>
    </xf>
    <xf numFmtId="2" fontId="24" fillId="4" borderId="1" xfId="0" applyNumberFormat="1" applyFont="1" applyFill="1" applyBorder="1" applyAlignment="1">
      <alignment horizontal="center" wrapText="1"/>
    </xf>
    <xf numFmtId="167" fontId="18" fillId="4" borderId="1" xfId="0" applyNumberFormat="1" applyFont="1" applyFill="1" applyBorder="1" applyAlignment="1">
      <alignment horizontal="center" wrapText="1"/>
    </xf>
    <xf numFmtId="9" fontId="18" fillId="4" borderId="1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3" fillId="0" borderId="0" xfId="0" applyFont="1"/>
    <xf numFmtId="3" fontId="19" fillId="3" borderId="6" xfId="0" applyNumberFormat="1" applyFont="1" applyFill="1" applyBorder="1" applyAlignment="1">
      <alignment horizontal="center" wrapText="1"/>
    </xf>
    <xf numFmtId="1" fontId="13" fillId="7" borderId="6" xfId="0" applyNumberFormat="1" applyFont="1" applyFill="1" applyBorder="1" applyAlignment="1">
      <alignment horizontal="center" wrapText="1"/>
    </xf>
    <xf numFmtId="1" fontId="13" fillId="0" borderId="6" xfId="0" applyNumberFormat="1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center" wrapText="1"/>
    </xf>
    <xf numFmtId="166" fontId="19" fillId="3" borderId="6" xfId="0" applyNumberFormat="1" applyFont="1" applyFill="1" applyBorder="1" applyAlignment="1">
      <alignment horizontal="center" wrapText="1"/>
    </xf>
    <xf numFmtId="166" fontId="13" fillId="0" borderId="2" xfId="0" applyNumberFormat="1" applyFont="1" applyBorder="1" applyAlignment="1">
      <alignment horizontal="center" wrapText="1"/>
    </xf>
    <xf numFmtId="167" fontId="13" fillId="0" borderId="2" xfId="0" applyNumberFormat="1" applyFont="1" applyBorder="1" applyAlignment="1">
      <alignment horizontal="center" wrapText="1"/>
    </xf>
    <xf numFmtId="2" fontId="13" fillId="0" borderId="2" xfId="0" applyNumberFormat="1" applyFont="1" applyBorder="1" applyAlignment="1">
      <alignment horizontal="center" wrapText="1"/>
    </xf>
    <xf numFmtId="167" fontId="28" fillId="4" borderId="6" xfId="0" applyNumberFormat="1" applyFont="1" applyFill="1" applyBorder="1" applyAlignment="1">
      <alignment horizontal="center" wrapText="1"/>
    </xf>
    <xf numFmtId="1" fontId="20" fillId="3" borderId="1" xfId="0" applyNumberFormat="1" applyFont="1" applyFill="1" applyBorder="1" applyAlignment="1">
      <alignment horizontal="center" wrapText="1"/>
    </xf>
    <xf numFmtId="3" fontId="19" fillId="3" borderId="1" xfId="0" applyNumberFormat="1" applyFont="1" applyFill="1" applyBorder="1" applyAlignment="1">
      <alignment horizontal="center" wrapText="1"/>
    </xf>
    <xf numFmtId="1" fontId="13" fillId="7" borderId="1" xfId="0" applyNumberFormat="1" applyFont="1" applyFill="1" applyBorder="1" applyAlignment="1">
      <alignment horizontal="center" wrapText="1"/>
    </xf>
    <xf numFmtId="1" fontId="13" fillId="0" borderId="1" xfId="0" applyNumberFormat="1" applyFont="1" applyBorder="1" applyAlignment="1">
      <alignment horizontal="center" wrapText="1"/>
    </xf>
    <xf numFmtId="166" fontId="19" fillId="3" borderId="1" xfId="0" applyNumberFormat="1" applyFont="1" applyFill="1" applyBorder="1" applyAlignment="1">
      <alignment horizontal="center" wrapText="1"/>
    </xf>
    <xf numFmtId="166" fontId="13" fillId="0" borderId="1" xfId="0" applyNumberFormat="1" applyFont="1" applyBorder="1" applyAlignment="1">
      <alignment horizontal="center" wrapText="1"/>
    </xf>
    <xf numFmtId="167" fontId="13" fillId="0" borderId="1" xfId="0" applyNumberFormat="1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wrapText="1"/>
    </xf>
    <xf numFmtId="167" fontId="28" fillId="4" borderId="1" xfId="0" applyNumberFormat="1" applyFont="1" applyFill="1" applyBorder="1" applyAlignment="1">
      <alignment horizontal="center" wrapText="1"/>
    </xf>
    <xf numFmtId="3" fontId="19" fillId="3" borderId="13" xfId="0" applyNumberFormat="1" applyFont="1" applyFill="1" applyBorder="1" applyAlignment="1">
      <alignment horizontal="center" wrapText="1"/>
    </xf>
    <xf numFmtId="1" fontId="13" fillId="7" borderId="13" xfId="0" applyNumberFormat="1" applyFont="1" applyFill="1" applyBorder="1" applyAlignment="1">
      <alignment horizontal="center" wrapText="1"/>
    </xf>
    <xf numFmtId="1" fontId="13" fillId="0" borderId="13" xfId="0" applyNumberFormat="1" applyFont="1" applyBorder="1" applyAlignment="1">
      <alignment horizontal="center" wrapText="1"/>
    </xf>
    <xf numFmtId="166" fontId="19" fillId="3" borderId="13" xfId="0" applyNumberFormat="1" applyFont="1" applyFill="1" applyBorder="1" applyAlignment="1">
      <alignment horizontal="center" wrapText="1"/>
    </xf>
    <xf numFmtId="166" fontId="13" fillId="0" borderId="13" xfId="0" applyNumberFormat="1" applyFont="1" applyBorder="1" applyAlignment="1">
      <alignment horizontal="center" wrapText="1"/>
    </xf>
    <xf numFmtId="167" fontId="13" fillId="0" borderId="13" xfId="0" applyNumberFormat="1" applyFont="1" applyBorder="1" applyAlignment="1">
      <alignment horizontal="center" wrapText="1"/>
    </xf>
    <xf numFmtId="2" fontId="13" fillId="0" borderId="13" xfId="0" applyNumberFormat="1" applyFont="1" applyBorder="1" applyAlignment="1">
      <alignment horizontal="center" wrapText="1"/>
    </xf>
    <xf numFmtId="167" fontId="28" fillId="4" borderId="13" xfId="0" applyNumberFormat="1" applyFont="1" applyFill="1" applyBorder="1" applyAlignment="1">
      <alignment horizontal="center" wrapText="1"/>
    </xf>
    <xf numFmtId="1" fontId="21" fillId="4" borderId="15" xfId="0" applyNumberFormat="1" applyFont="1" applyFill="1" applyBorder="1" applyAlignment="1">
      <alignment horizontal="center" wrapText="1"/>
    </xf>
    <xf numFmtId="1" fontId="21" fillId="4" borderId="19" xfId="0" applyNumberFormat="1" applyFont="1" applyFill="1" applyBorder="1" applyAlignment="1">
      <alignment horizontal="center" wrapText="1"/>
    </xf>
    <xf numFmtId="1" fontId="21" fillId="4" borderId="20" xfId="0" applyNumberFormat="1" applyFont="1" applyFill="1" applyBorder="1" applyAlignment="1">
      <alignment horizontal="center" wrapText="1"/>
    </xf>
    <xf numFmtId="1" fontId="20" fillId="3" borderId="5" xfId="0" applyNumberFormat="1" applyFont="1" applyFill="1" applyBorder="1" applyAlignment="1">
      <alignment horizontal="center" wrapText="1"/>
    </xf>
    <xf numFmtId="165" fontId="21" fillId="0" borderId="6" xfId="0" applyNumberFormat="1" applyFont="1" applyFill="1" applyBorder="1" applyAlignment="1">
      <alignment horizontal="center" wrapText="1"/>
    </xf>
    <xf numFmtId="1" fontId="20" fillId="3" borderId="9" xfId="0" applyNumberFormat="1" applyFont="1" applyFill="1" applyBorder="1" applyAlignment="1">
      <alignment horizontal="center" wrapText="1"/>
    </xf>
    <xf numFmtId="1" fontId="20" fillId="3" borderId="12" xfId="0" applyNumberFormat="1" applyFont="1" applyFill="1" applyBorder="1" applyAlignment="1">
      <alignment horizontal="center" wrapText="1"/>
    </xf>
    <xf numFmtId="165" fontId="21" fillId="0" borderId="13" xfId="0" applyNumberFormat="1" applyFont="1" applyFill="1" applyBorder="1" applyAlignment="1">
      <alignment horizontal="center" wrapText="1"/>
    </xf>
    <xf numFmtId="0" fontId="29" fillId="0" borderId="0" xfId="0" applyFont="1" applyAlignment="1">
      <alignment vertical="top"/>
    </xf>
    <xf numFmtId="0" fontId="25" fillId="6" borderId="30" xfId="0" applyFont="1" applyFill="1" applyBorder="1" applyAlignment="1">
      <alignment horizontal="center" vertical="center" wrapText="1"/>
    </xf>
    <xf numFmtId="0" fontId="25" fillId="6" borderId="31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25" fillId="6" borderId="26" xfId="0" applyFont="1" applyFill="1" applyBorder="1" applyAlignment="1">
      <alignment horizontal="center" vertical="center" wrapText="1"/>
    </xf>
    <xf numFmtId="0" fontId="19" fillId="6" borderId="31" xfId="0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center" vertical="center" wrapText="1"/>
    </xf>
    <xf numFmtId="0" fontId="25" fillId="6" borderId="32" xfId="0" applyFont="1" applyFill="1" applyBorder="1" applyAlignment="1">
      <alignment horizontal="center" vertical="center" wrapText="1"/>
    </xf>
    <xf numFmtId="0" fontId="25" fillId="6" borderId="33" xfId="0" applyFont="1" applyFill="1" applyBorder="1" applyAlignment="1">
      <alignment horizontal="center"/>
    </xf>
    <xf numFmtId="0" fontId="25" fillId="6" borderId="16" xfId="0" applyFont="1" applyFill="1" applyBorder="1" applyAlignment="1">
      <alignment horizontal="center"/>
    </xf>
    <xf numFmtId="0" fontId="25" fillId="6" borderId="18" xfId="0" applyFont="1" applyFill="1" applyBorder="1" applyAlignment="1">
      <alignment horizontal="center"/>
    </xf>
    <xf numFmtId="1" fontId="21" fillId="3" borderId="1" xfId="0" applyNumberFormat="1" applyFont="1" applyFill="1" applyBorder="1" applyAlignment="1">
      <alignment horizontal="center" wrapText="1"/>
    </xf>
    <xf numFmtId="1" fontId="15" fillId="3" borderId="6" xfId="0" applyNumberFormat="1" applyFont="1" applyFill="1" applyBorder="1" applyAlignment="1">
      <alignment horizontal="center" wrapText="1"/>
    </xf>
    <xf numFmtId="1" fontId="15" fillId="3" borderId="1" xfId="0" applyNumberFormat="1" applyFont="1" applyFill="1" applyBorder="1" applyAlignment="1">
      <alignment horizontal="center" wrapText="1"/>
    </xf>
    <xf numFmtId="1" fontId="15" fillId="3" borderId="13" xfId="0" applyNumberFormat="1" applyFont="1" applyFill="1" applyBorder="1" applyAlignment="1">
      <alignment horizontal="center" wrapText="1"/>
    </xf>
    <xf numFmtId="168" fontId="24" fillId="0" borderId="6" xfId="0" applyNumberFormat="1" applyFont="1" applyFill="1" applyBorder="1" applyAlignment="1">
      <alignment horizontal="center" wrapText="1"/>
    </xf>
    <xf numFmtId="168" fontId="24" fillId="0" borderId="1" xfId="0" applyNumberFormat="1" applyFont="1" applyFill="1" applyBorder="1" applyAlignment="1">
      <alignment horizontal="center" wrapText="1"/>
    </xf>
    <xf numFmtId="168" fontId="24" fillId="0" borderId="13" xfId="0" applyNumberFormat="1" applyFont="1" applyFill="1" applyBorder="1" applyAlignment="1">
      <alignment horizontal="center" wrapText="1"/>
    </xf>
    <xf numFmtId="2" fontId="24" fillId="0" borderId="1" xfId="0" applyNumberFormat="1" applyFont="1" applyFill="1" applyBorder="1" applyAlignment="1">
      <alignment horizontal="center" wrapText="1"/>
    </xf>
    <xf numFmtId="2" fontId="17" fillId="4" borderId="1" xfId="0" applyNumberFormat="1" applyFont="1" applyFill="1" applyBorder="1" applyAlignment="1">
      <alignment horizontal="center" wrapText="1"/>
    </xf>
    <xf numFmtId="2" fontId="19" fillId="3" borderId="1" xfId="0" applyNumberFormat="1" applyFont="1" applyFill="1" applyBorder="1" applyAlignment="1">
      <alignment horizontal="center" wrapText="1"/>
    </xf>
    <xf numFmtId="0" fontId="25" fillId="0" borderId="34" xfId="0" applyFont="1" applyBorder="1"/>
    <xf numFmtId="0" fontId="25" fillId="6" borderId="22" xfId="0" applyFont="1" applyFill="1" applyBorder="1" applyAlignment="1">
      <alignment horizontal="center" vertical="center"/>
    </xf>
    <xf numFmtId="0" fontId="25" fillId="6" borderId="35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5" fillId="6" borderId="36" xfId="0" applyFont="1" applyFill="1" applyBorder="1" applyAlignment="1">
      <alignment horizontal="center" vertical="center" wrapText="1"/>
    </xf>
    <xf numFmtId="0" fontId="25" fillId="0" borderId="37" xfId="0" applyFont="1" applyBorder="1"/>
    <xf numFmtId="1" fontId="20" fillId="3" borderId="13" xfId="0" applyNumberFormat="1" applyFont="1" applyFill="1" applyBorder="1" applyAlignment="1">
      <alignment horizontal="center" wrapText="1"/>
    </xf>
    <xf numFmtId="1" fontId="21" fillId="4" borderId="13" xfId="0" applyNumberFormat="1" applyFont="1" applyFill="1" applyBorder="1" applyAlignment="1">
      <alignment horizontal="center" wrapText="1"/>
    </xf>
    <xf numFmtId="2" fontId="19" fillId="3" borderId="13" xfId="0" applyNumberFormat="1" applyFont="1" applyFill="1" applyBorder="1" applyAlignment="1">
      <alignment horizontal="center" wrapText="1"/>
    </xf>
    <xf numFmtId="0" fontId="25" fillId="0" borderId="38" xfId="0" applyFont="1" applyBorder="1"/>
    <xf numFmtId="0" fontId="25" fillId="0" borderId="39" xfId="0" applyFont="1" applyBorder="1"/>
    <xf numFmtId="0" fontId="25" fillId="0" borderId="40" xfId="0" applyFont="1" applyBorder="1"/>
    <xf numFmtId="0" fontId="25" fillId="0" borderId="41" xfId="0" applyFont="1" applyBorder="1"/>
    <xf numFmtId="0" fontId="25" fillId="0" borderId="42" xfId="0" applyFont="1" applyBorder="1"/>
    <xf numFmtId="0" fontId="25" fillId="0" borderId="43" xfId="0" applyFont="1" applyBorder="1"/>
    <xf numFmtId="0" fontId="0" fillId="0" borderId="1" xfId="0" applyBorder="1" applyAlignment="1">
      <alignment wrapText="1"/>
    </xf>
    <xf numFmtId="2" fontId="17" fillId="4" borderId="1" xfId="0" applyNumberFormat="1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vertical="center"/>
    </xf>
    <xf numFmtId="0" fontId="15" fillId="9" borderId="44" xfId="0" applyFont="1" applyFill="1" applyBorder="1" applyAlignment="1">
      <alignment horizontal="center" vertical="center" wrapText="1"/>
    </xf>
    <xf numFmtId="167" fontId="16" fillId="9" borderId="44" xfId="0" applyNumberFormat="1" applyFont="1" applyFill="1" applyBorder="1" applyAlignment="1">
      <alignment horizontal="center" vertical="center" wrapText="1"/>
    </xf>
    <xf numFmtId="0" fontId="16" fillId="9" borderId="44" xfId="0" applyFont="1" applyFill="1" applyBorder="1" applyAlignment="1">
      <alignment horizontal="center" vertical="center" wrapText="1"/>
    </xf>
    <xf numFmtId="0" fontId="21" fillId="0" borderId="0" xfId="0" applyFont="1"/>
    <xf numFmtId="1" fontId="20" fillId="0" borderId="1" xfId="0" applyNumberFormat="1" applyFont="1" applyFill="1" applyBorder="1" applyAlignment="1">
      <alignment horizontal="center" vertical="center" wrapText="1"/>
    </xf>
    <xf numFmtId="3" fontId="19" fillId="0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167" fontId="10" fillId="0" borderId="1" xfId="0" applyNumberFormat="1" applyFont="1" applyFill="1" applyBorder="1" applyAlignment="1">
      <alignment horizontal="center" vertical="center" wrapText="1"/>
    </xf>
    <xf numFmtId="166" fontId="19" fillId="3" borderId="1" xfId="0" applyNumberFormat="1" applyFont="1" applyFill="1" applyBorder="1" applyAlignment="1">
      <alignment horizontal="center" vertical="center" wrapText="1"/>
    </xf>
    <xf numFmtId="167" fontId="31" fillId="0" borderId="1" xfId="0" applyNumberFormat="1" applyFont="1" applyFill="1" applyBorder="1" applyAlignment="1">
      <alignment horizontal="center" vertical="center" wrapText="1"/>
    </xf>
    <xf numFmtId="167" fontId="20" fillId="0" borderId="1" xfId="0" applyNumberFormat="1" applyFont="1" applyFill="1" applyBorder="1" applyAlignment="1">
      <alignment horizontal="center" vertical="center" wrapText="1"/>
    </xf>
    <xf numFmtId="9" fontId="20" fillId="0" borderId="1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167" fontId="25" fillId="0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9" borderId="46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1" fontId="21" fillId="4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166" fontId="21" fillId="4" borderId="1" xfId="0" applyNumberFormat="1" applyFont="1" applyFill="1" applyBorder="1" applyAlignment="1">
      <alignment horizontal="center" vertical="center" wrapText="1"/>
    </xf>
    <xf numFmtId="167" fontId="22" fillId="4" borderId="1" xfId="0" applyNumberFormat="1" applyFont="1" applyFill="1" applyBorder="1" applyAlignment="1">
      <alignment horizontal="center" vertical="center" wrapText="1"/>
    </xf>
    <xf numFmtId="2" fontId="21" fillId="4" borderId="1" xfId="0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" fontId="20" fillId="4" borderId="1" xfId="0" applyNumberFormat="1" applyFont="1" applyFill="1" applyBorder="1" applyAlignment="1">
      <alignment horizontal="center" vertical="center" wrapText="1"/>
    </xf>
    <xf numFmtId="1" fontId="21" fillId="3" borderId="1" xfId="0" applyNumberFormat="1" applyFont="1" applyFill="1" applyBorder="1" applyAlignment="1">
      <alignment horizontal="center" vertical="center" wrapText="1"/>
    </xf>
    <xf numFmtId="165" fontId="21" fillId="0" borderId="1" xfId="0" applyNumberFormat="1" applyFont="1" applyFill="1" applyBorder="1" applyAlignment="1">
      <alignment horizontal="center" vertical="center" wrapText="1"/>
    </xf>
    <xf numFmtId="166" fontId="22" fillId="3" borderId="1" xfId="0" applyNumberFormat="1" applyFont="1" applyFill="1" applyBorder="1" applyAlignment="1">
      <alignment horizontal="center" vertical="center" wrapText="1"/>
    </xf>
    <xf numFmtId="2" fontId="2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18" fillId="4" borderId="1" xfId="0" applyNumberFormat="1" applyFont="1" applyFill="1" applyBorder="1" applyAlignment="1">
      <alignment horizontal="center" vertical="center" wrapText="1"/>
    </xf>
    <xf numFmtId="167" fontId="22" fillId="4" borderId="1" xfId="0" applyNumberFormat="1" applyFont="1" applyFill="1" applyBorder="1" applyAlignment="1">
      <alignment horizontal="center" vertical="center" wrapText="1"/>
    </xf>
    <xf numFmtId="2" fontId="21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167" fontId="24" fillId="4" borderId="1" xfId="0" applyNumberFormat="1" applyFont="1" applyFill="1" applyBorder="1" applyAlignment="1">
      <alignment horizontal="center" vertical="center" wrapText="1"/>
    </xf>
    <xf numFmtId="2" fontId="24" fillId="4" borderId="1" xfId="0" applyNumberFormat="1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1" fontId="21" fillId="4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166" fontId="2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7" fontId="18" fillId="4" borderId="1" xfId="0" applyNumberFormat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164" fontId="36" fillId="0" borderId="1" xfId="1" applyFont="1" applyFill="1" applyBorder="1" applyAlignment="1">
      <alignment horizontal="center" vertical="center" wrapText="1"/>
    </xf>
    <xf numFmtId="2" fontId="36" fillId="0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9" borderId="46" xfId="0" applyFont="1" applyFill="1" applyBorder="1" applyAlignment="1">
      <alignment horizontal="center" vertical="center" wrapText="1"/>
    </xf>
    <xf numFmtId="0" fontId="41" fillId="9" borderId="44" xfId="0" applyFont="1" applyFill="1" applyBorder="1" applyAlignment="1">
      <alignment horizontal="center" vertical="center" wrapText="1"/>
    </xf>
    <xf numFmtId="0" fontId="41" fillId="9" borderId="44" xfId="0" applyFont="1" applyFill="1" applyBorder="1" applyAlignment="1">
      <alignment vertical="center"/>
    </xf>
    <xf numFmtId="167" fontId="42" fillId="9" borderId="44" xfId="0" applyNumberFormat="1" applyFont="1" applyFill="1" applyBorder="1" applyAlignment="1">
      <alignment horizontal="center" vertical="center" wrapText="1"/>
    </xf>
    <xf numFmtId="0" fontId="42" fillId="9" borderId="44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1" fontId="42" fillId="0" borderId="1" xfId="0" applyNumberFormat="1" applyFont="1" applyFill="1" applyBorder="1" applyAlignment="1">
      <alignment horizontal="center" vertical="center" wrapText="1"/>
    </xf>
    <xf numFmtId="3" fontId="43" fillId="0" borderId="1" xfId="0" applyNumberFormat="1" applyFont="1" applyFill="1" applyBorder="1" applyAlignment="1">
      <alignment horizontal="center" vertical="center" wrapText="1"/>
    </xf>
    <xf numFmtId="1" fontId="44" fillId="0" borderId="1" xfId="0" applyNumberFormat="1" applyFont="1" applyFill="1" applyBorder="1" applyAlignment="1">
      <alignment horizontal="center" vertical="center" wrapText="1"/>
    </xf>
    <xf numFmtId="167" fontId="44" fillId="0" borderId="1" xfId="0" applyNumberFormat="1" applyFont="1" applyFill="1" applyBorder="1" applyAlignment="1">
      <alignment horizontal="center" vertical="center" wrapText="1"/>
    </xf>
    <xf numFmtId="166" fontId="43" fillId="3" borderId="1" xfId="0" applyNumberFormat="1" applyFont="1" applyFill="1" applyBorder="1" applyAlignment="1">
      <alignment horizontal="center" vertical="center" wrapText="1"/>
    </xf>
    <xf numFmtId="167" fontId="45" fillId="0" borderId="1" xfId="0" applyNumberFormat="1" applyFont="1" applyFill="1" applyBorder="1" applyAlignment="1">
      <alignment horizontal="center" vertical="center" wrapText="1"/>
    </xf>
    <xf numFmtId="167" fontId="42" fillId="0" borderId="1" xfId="0" applyNumberFormat="1" applyFont="1" applyFill="1" applyBorder="1" applyAlignment="1">
      <alignment horizontal="center" vertical="center" wrapText="1"/>
    </xf>
    <xf numFmtId="9" fontId="42" fillId="0" borderId="1" xfId="0" applyNumberFormat="1" applyFont="1" applyFill="1" applyBorder="1" applyAlignment="1">
      <alignment horizontal="center" vertical="center" wrapText="1"/>
    </xf>
    <xf numFmtId="2" fontId="42" fillId="0" borderId="1" xfId="0" applyNumberFormat="1" applyFont="1" applyFill="1" applyBorder="1" applyAlignment="1">
      <alignment horizontal="center" vertical="center" wrapText="1"/>
    </xf>
    <xf numFmtId="167" fontId="41" fillId="0" borderId="1" xfId="0" applyNumberFormat="1" applyFont="1" applyFill="1" applyBorder="1" applyAlignment="1">
      <alignment horizontal="center" vertical="center"/>
    </xf>
    <xf numFmtId="1" fontId="21" fillId="4" borderId="47" xfId="0" applyNumberFormat="1" applyFont="1" applyFill="1" applyBorder="1" applyAlignment="1">
      <alignment horizontal="center" wrapText="1"/>
    </xf>
    <xf numFmtId="0" fontId="39" fillId="3" borderId="1" xfId="0" applyFont="1" applyFill="1" applyBorder="1" applyAlignment="1">
      <alignment horizontal="center" vertical="center"/>
    </xf>
    <xf numFmtId="1" fontId="47" fillId="0" borderId="1" xfId="0" applyNumberFormat="1" applyFont="1" applyFill="1" applyBorder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50" fillId="10" borderId="1" xfId="0" applyFont="1" applyFill="1" applyBorder="1" applyAlignment="1">
      <alignment horizontal="center" vertical="center" wrapText="1"/>
    </xf>
    <xf numFmtId="164" fontId="49" fillId="10" borderId="1" xfId="1" applyFont="1" applyFill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center" wrapText="1"/>
    </xf>
    <xf numFmtId="1" fontId="13" fillId="3" borderId="6" xfId="0" applyNumberFormat="1" applyFont="1" applyFill="1" applyBorder="1" applyAlignment="1">
      <alignment horizontal="center" wrapText="1"/>
    </xf>
    <xf numFmtId="1" fontId="13" fillId="3" borderId="1" xfId="0" applyNumberFormat="1" applyFont="1" applyFill="1" applyBorder="1" applyAlignment="1">
      <alignment horizontal="center" wrapText="1"/>
    </xf>
    <xf numFmtId="1" fontId="13" fillId="3" borderId="13" xfId="0" applyNumberFormat="1" applyFont="1" applyFill="1" applyBorder="1" applyAlignment="1">
      <alignment horizontal="center" wrapText="1"/>
    </xf>
    <xf numFmtId="0" fontId="25" fillId="0" borderId="34" xfId="0" applyFont="1" applyBorder="1" applyAlignment="1">
      <alignment wrapText="1"/>
    </xf>
    <xf numFmtId="1" fontId="35" fillId="3" borderId="1" xfId="0" applyNumberFormat="1" applyFont="1" applyFill="1" applyBorder="1" applyAlignment="1">
      <alignment horizontal="center" vertical="center" wrapText="1"/>
    </xf>
    <xf numFmtId="3" fontId="36" fillId="3" borderId="1" xfId="0" applyNumberFormat="1" applyFont="1" applyFill="1" applyBorder="1" applyAlignment="1">
      <alignment horizontal="center" vertical="center" wrapText="1"/>
    </xf>
    <xf numFmtId="1" fontId="33" fillId="0" borderId="1" xfId="0" applyNumberFormat="1" applyFont="1" applyFill="1" applyBorder="1" applyAlignment="1">
      <alignment horizontal="center" vertical="center" wrapText="1"/>
    </xf>
    <xf numFmtId="1" fontId="36" fillId="0" borderId="1" xfId="0" applyNumberFormat="1" applyFont="1" applyFill="1" applyBorder="1" applyAlignment="1">
      <alignment horizontal="center" vertical="center" wrapText="1"/>
    </xf>
    <xf numFmtId="168" fontId="33" fillId="3" borderId="1" xfId="0" applyNumberFormat="1" applyFont="1" applyFill="1" applyBorder="1" applyAlignment="1">
      <alignment horizontal="center" vertical="center" wrapText="1"/>
    </xf>
    <xf numFmtId="165" fontId="33" fillId="0" borderId="1" xfId="0" applyNumberFormat="1" applyFont="1" applyFill="1" applyBorder="1" applyAlignment="1">
      <alignment horizontal="center" vertical="center" wrapText="1"/>
    </xf>
    <xf numFmtId="166" fontId="38" fillId="3" borderId="1" xfId="0" applyNumberFormat="1" applyFont="1" applyFill="1" applyBorder="1" applyAlignment="1">
      <alignment horizontal="center" vertical="center" wrapText="1"/>
    </xf>
    <xf numFmtId="166" fontId="33" fillId="0" borderId="1" xfId="0" applyNumberFormat="1" applyFont="1" applyFill="1" applyBorder="1" applyAlignment="1">
      <alignment horizontal="center" vertical="center" wrapText="1"/>
    </xf>
    <xf numFmtId="167" fontId="46" fillId="0" borderId="1" xfId="0" applyNumberFormat="1" applyFont="1" applyFill="1" applyBorder="1" applyAlignment="1">
      <alignment horizontal="center" vertical="center" wrapText="1"/>
    </xf>
    <xf numFmtId="2" fontId="33" fillId="0" borderId="1" xfId="0" applyNumberFormat="1" applyFont="1" applyFill="1" applyBorder="1" applyAlignment="1">
      <alignment horizontal="center" vertical="center" wrapText="1"/>
    </xf>
    <xf numFmtId="167" fontId="40" fillId="0" borderId="1" xfId="0" applyNumberFormat="1" applyFont="1" applyFill="1" applyBorder="1" applyAlignment="1">
      <alignment horizontal="center" vertical="center" wrapText="1"/>
    </xf>
    <xf numFmtId="2" fontId="40" fillId="0" borderId="1" xfId="0" applyNumberFormat="1" applyFont="1" applyFill="1" applyBorder="1" applyAlignment="1">
      <alignment horizontal="center" vertical="center" wrapText="1"/>
    </xf>
    <xf numFmtId="167" fontId="37" fillId="0" borderId="1" xfId="0" applyNumberFormat="1" applyFont="1" applyFill="1" applyBorder="1" applyAlignment="1">
      <alignment horizontal="center" vertical="center" wrapText="1"/>
    </xf>
    <xf numFmtId="9" fontId="37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5" fillId="0" borderId="0" xfId="0" applyFont="1" applyBorder="1"/>
    <xf numFmtId="1" fontId="20" fillId="3" borderId="52" xfId="0" applyNumberFormat="1" applyFont="1" applyFill="1" applyBorder="1" applyAlignment="1">
      <alignment horizontal="center" wrapText="1"/>
    </xf>
    <xf numFmtId="3" fontId="19" fillId="3" borderId="48" xfId="0" applyNumberFormat="1" applyFont="1" applyFill="1" applyBorder="1" applyAlignment="1">
      <alignment horizontal="center" wrapText="1"/>
    </xf>
    <xf numFmtId="1" fontId="13" fillId="7" borderId="48" xfId="0" applyNumberFormat="1" applyFont="1" applyFill="1" applyBorder="1" applyAlignment="1">
      <alignment horizontal="center" wrapText="1"/>
    </xf>
    <xf numFmtId="1" fontId="13" fillId="0" borderId="48" xfId="0" applyNumberFormat="1" applyFont="1" applyBorder="1" applyAlignment="1">
      <alignment horizontal="center" wrapText="1"/>
    </xf>
    <xf numFmtId="1" fontId="13" fillId="3" borderId="48" xfId="0" applyNumberFormat="1" applyFont="1" applyFill="1" applyBorder="1" applyAlignment="1">
      <alignment horizontal="center" wrapText="1"/>
    </xf>
    <xf numFmtId="1" fontId="21" fillId="4" borderId="53" xfId="0" applyNumberFormat="1" applyFont="1" applyFill="1" applyBorder="1" applyAlignment="1">
      <alignment horizontal="center" wrapText="1"/>
    </xf>
    <xf numFmtId="1" fontId="15" fillId="3" borderId="48" xfId="0" applyNumberFormat="1" applyFont="1" applyFill="1" applyBorder="1" applyAlignment="1">
      <alignment horizontal="center" wrapText="1"/>
    </xf>
    <xf numFmtId="165" fontId="21" fillId="0" borderId="48" xfId="0" applyNumberFormat="1" applyFont="1" applyFill="1" applyBorder="1" applyAlignment="1">
      <alignment horizontal="center" wrapText="1"/>
    </xf>
    <xf numFmtId="166" fontId="19" fillId="3" borderId="48" xfId="0" applyNumberFormat="1" applyFont="1" applyFill="1" applyBorder="1" applyAlignment="1">
      <alignment horizontal="center" wrapText="1"/>
    </xf>
    <xf numFmtId="166" fontId="13" fillId="0" borderId="48" xfId="0" applyNumberFormat="1" applyFont="1" applyBorder="1" applyAlignment="1">
      <alignment horizontal="center" wrapText="1"/>
    </xf>
    <xf numFmtId="167" fontId="13" fillId="0" borderId="48" xfId="0" applyNumberFormat="1" applyFont="1" applyBorder="1" applyAlignment="1">
      <alignment horizontal="center" wrapText="1"/>
    </xf>
    <xf numFmtId="2" fontId="13" fillId="0" borderId="48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20" fillId="3" borderId="1" xfId="0" applyNumberFormat="1" applyFont="1" applyFill="1" applyBorder="1" applyAlignment="1">
      <alignment horizontal="center" vertical="center" wrapText="1"/>
    </xf>
    <xf numFmtId="0" fontId="53" fillId="0" borderId="34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wrapText="1"/>
    </xf>
    <xf numFmtId="167" fontId="7" fillId="0" borderId="1" xfId="0" applyNumberFormat="1" applyFont="1" applyBorder="1" applyAlignment="1">
      <alignment horizontal="center" wrapText="1"/>
    </xf>
    <xf numFmtId="0" fontId="25" fillId="6" borderId="56" xfId="0" applyFont="1" applyFill="1" applyBorder="1" applyAlignment="1">
      <alignment horizontal="center" vertical="center"/>
    </xf>
    <xf numFmtId="0" fontId="25" fillId="6" borderId="57" xfId="0" applyFont="1" applyFill="1" applyBorder="1" applyAlignment="1">
      <alignment horizontal="center" vertical="center" wrapText="1"/>
    </xf>
    <xf numFmtId="0" fontId="25" fillId="6" borderId="16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25" fillId="6" borderId="18" xfId="0" applyFont="1" applyFill="1" applyBorder="1" applyAlignment="1">
      <alignment horizontal="center" vertical="center" wrapText="1"/>
    </xf>
    <xf numFmtId="0" fontId="25" fillId="0" borderId="51" xfId="0" applyFont="1" applyBorder="1"/>
    <xf numFmtId="1" fontId="20" fillId="3" borderId="45" xfId="0" applyNumberFormat="1" applyFont="1" applyFill="1" applyBorder="1" applyAlignment="1">
      <alignment horizontal="center" wrapText="1"/>
    </xf>
    <xf numFmtId="3" fontId="19" fillId="3" borderId="45" xfId="0" applyNumberFormat="1" applyFont="1" applyFill="1" applyBorder="1" applyAlignment="1">
      <alignment horizontal="center" wrapText="1"/>
    </xf>
    <xf numFmtId="1" fontId="5" fillId="7" borderId="45" xfId="0" applyNumberFormat="1" applyFont="1" applyFill="1" applyBorder="1" applyAlignment="1">
      <alignment horizontal="center" wrapText="1"/>
    </xf>
    <xf numFmtId="1" fontId="5" fillId="0" borderId="45" xfId="0" applyNumberFormat="1" applyFont="1" applyBorder="1" applyAlignment="1">
      <alignment horizontal="center" wrapText="1"/>
    </xf>
    <xf numFmtId="1" fontId="21" fillId="4" borderId="45" xfId="0" applyNumberFormat="1" applyFont="1" applyFill="1" applyBorder="1" applyAlignment="1">
      <alignment horizontal="center" wrapText="1"/>
    </xf>
    <xf numFmtId="1" fontId="15" fillId="3" borderId="45" xfId="0" applyNumberFormat="1" applyFont="1" applyFill="1" applyBorder="1" applyAlignment="1">
      <alignment horizontal="center" wrapText="1"/>
    </xf>
    <xf numFmtId="165" fontId="21" fillId="0" borderId="45" xfId="0" applyNumberFormat="1" applyFont="1" applyFill="1" applyBorder="1" applyAlignment="1">
      <alignment horizontal="center" wrapText="1"/>
    </xf>
    <xf numFmtId="166" fontId="19" fillId="3" borderId="45" xfId="0" applyNumberFormat="1" applyFont="1" applyFill="1" applyBorder="1" applyAlignment="1">
      <alignment horizontal="center" wrapText="1"/>
    </xf>
    <xf numFmtId="166" fontId="5" fillId="0" borderId="45" xfId="0" applyNumberFormat="1" applyFont="1" applyBorder="1" applyAlignment="1">
      <alignment horizontal="center" wrapText="1"/>
    </xf>
    <xf numFmtId="2" fontId="5" fillId="0" borderId="45" xfId="0" applyNumberFormat="1" applyFont="1" applyBorder="1" applyAlignment="1">
      <alignment horizontal="center" wrapText="1"/>
    </xf>
    <xf numFmtId="2" fontId="19" fillId="3" borderId="45" xfId="0" applyNumberFormat="1" applyFont="1" applyFill="1" applyBorder="1" applyAlignment="1">
      <alignment horizontal="center" wrapText="1"/>
    </xf>
    <xf numFmtId="167" fontId="28" fillId="4" borderId="45" xfId="0" applyNumberFormat="1" applyFont="1" applyFill="1" applyBorder="1" applyAlignment="1">
      <alignment horizontal="center" wrapText="1"/>
    </xf>
    <xf numFmtId="168" fontId="24" fillId="0" borderId="45" xfId="0" applyNumberFormat="1" applyFont="1" applyFill="1" applyBorder="1" applyAlignment="1">
      <alignment horizontal="center" wrapText="1"/>
    </xf>
    <xf numFmtId="1" fontId="5" fillId="7" borderId="13" xfId="0" applyNumberFormat="1" applyFont="1" applyFill="1" applyBorder="1" applyAlignment="1">
      <alignment horizontal="center" wrapText="1"/>
    </xf>
    <xf numFmtId="1" fontId="5" fillId="0" borderId="13" xfId="0" applyNumberFormat="1" applyFont="1" applyBorder="1" applyAlignment="1">
      <alignment horizontal="center" wrapText="1"/>
    </xf>
    <xf numFmtId="166" fontId="5" fillId="0" borderId="13" xfId="0" applyNumberFormat="1" applyFont="1" applyBorder="1" applyAlignment="1">
      <alignment horizontal="center" wrapText="1"/>
    </xf>
    <xf numFmtId="2" fontId="5" fillId="0" borderId="13" xfId="0" applyNumberFormat="1" applyFont="1" applyBorder="1" applyAlignment="1">
      <alignment horizontal="center" wrapText="1"/>
    </xf>
    <xf numFmtId="1" fontId="0" fillId="0" borderId="1" xfId="0" applyNumberFormat="1" applyBorder="1"/>
    <xf numFmtId="166" fontId="13" fillId="0" borderId="6" xfId="0" applyNumberFormat="1" applyFont="1" applyBorder="1" applyAlignment="1">
      <alignment horizontal="center" wrapText="1"/>
    </xf>
    <xf numFmtId="167" fontId="13" fillId="0" borderId="6" xfId="0" applyNumberFormat="1" applyFont="1" applyBorder="1" applyAlignment="1">
      <alignment horizontal="center" wrapText="1"/>
    </xf>
    <xf numFmtId="2" fontId="13" fillId="0" borderId="6" xfId="0" applyNumberFormat="1" applyFont="1" applyBorder="1" applyAlignment="1">
      <alignment horizontal="center" wrapText="1"/>
    </xf>
    <xf numFmtId="1" fontId="4" fillId="7" borderId="45" xfId="0" applyNumberFormat="1" applyFont="1" applyFill="1" applyBorder="1" applyAlignment="1">
      <alignment horizontal="center" wrapText="1"/>
    </xf>
    <xf numFmtId="1" fontId="4" fillId="0" borderId="45" xfId="0" applyNumberFormat="1" applyFont="1" applyBorder="1" applyAlignment="1">
      <alignment horizontal="center" wrapText="1"/>
    </xf>
    <xf numFmtId="166" fontId="4" fillId="0" borderId="45" xfId="0" applyNumberFormat="1" applyFont="1" applyBorder="1" applyAlignment="1">
      <alignment horizontal="center" wrapText="1"/>
    </xf>
    <xf numFmtId="2" fontId="4" fillId="0" borderId="45" xfId="0" applyNumberFormat="1" applyFont="1" applyBorder="1" applyAlignment="1">
      <alignment horizontal="center" wrapText="1"/>
    </xf>
    <xf numFmtId="1" fontId="4" fillId="7" borderId="13" xfId="0" applyNumberFormat="1" applyFont="1" applyFill="1" applyBorder="1" applyAlignment="1">
      <alignment horizontal="center" wrapText="1"/>
    </xf>
    <xf numFmtId="1" fontId="4" fillId="0" borderId="13" xfId="0" applyNumberFormat="1" applyFont="1" applyBorder="1" applyAlignment="1">
      <alignment horizontal="center" wrapText="1"/>
    </xf>
    <xf numFmtId="166" fontId="4" fillId="0" borderId="13" xfId="0" applyNumberFormat="1" applyFont="1" applyBorder="1" applyAlignment="1">
      <alignment horizontal="center" wrapText="1"/>
    </xf>
    <xf numFmtId="2" fontId="4" fillId="0" borderId="13" xfId="0" applyNumberFormat="1" applyFont="1" applyBorder="1" applyAlignment="1">
      <alignment horizontal="center" wrapText="1"/>
    </xf>
    <xf numFmtId="1" fontId="35" fillId="0" borderId="44" xfId="0" applyNumberFormat="1" applyFont="1" applyFill="1" applyBorder="1" applyAlignment="1">
      <alignment horizontal="center" vertical="center" wrapText="1"/>
    </xf>
    <xf numFmtId="1" fontId="35" fillId="0" borderId="48" xfId="0" applyNumberFormat="1" applyFont="1" applyFill="1" applyBorder="1" applyAlignment="1">
      <alignment horizontal="center" vertical="center" wrapText="1"/>
    </xf>
    <xf numFmtId="1" fontId="35" fillId="0" borderId="45" xfId="0" applyNumberFormat="1" applyFont="1" applyFill="1" applyBorder="1" applyAlignment="1">
      <alignment horizontal="center" vertical="center" wrapText="1"/>
    </xf>
    <xf numFmtId="167" fontId="28" fillId="4" borderId="2" xfId="0" applyNumberFormat="1" applyFont="1" applyFill="1" applyBorder="1" applyAlignment="1">
      <alignment horizontal="center" vertical="center" wrapText="1"/>
    </xf>
    <xf numFmtId="167" fontId="28" fillId="4" borderId="48" xfId="0" applyNumberFormat="1" applyFont="1" applyFill="1" applyBorder="1" applyAlignment="1">
      <alignment horizontal="center" vertical="center" wrapText="1"/>
    </xf>
    <xf numFmtId="167" fontId="28" fillId="4" borderId="45" xfId="0" applyNumberFormat="1" applyFont="1" applyFill="1" applyBorder="1" applyAlignment="1">
      <alignment horizontal="center" vertical="center" wrapText="1"/>
    </xf>
    <xf numFmtId="167" fontId="28" fillId="0" borderId="36" xfId="0" applyNumberFormat="1" applyFont="1" applyBorder="1" applyAlignment="1">
      <alignment horizontal="center" vertical="center"/>
    </xf>
    <xf numFmtId="167" fontId="28" fillId="0" borderId="50" xfId="0" applyNumberFormat="1" applyFont="1" applyBorder="1" applyAlignment="1">
      <alignment horizontal="center" vertical="center"/>
    </xf>
    <xf numFmtId="167" fontId="28" fillId="0" borderId="55" xfId="0" applyNumberFormat="1" applyFont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 wrapText="1"/>
    </xf>
    <xf numFmtId="0" fontId="6" fillId="11" borderId="5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11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/>
    </xf>
    <xf numFmtId="0" fontId="27" fillId="3" borderId="48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/>
    </xf>
    <xf numFmtId="167" fontId="26" fillId="8" borderId="2" xfId="0" applyNumberFormat="1" applyFont="1" applyFill="1" applyBorder="1" applyAlignment="1">
      <alignment horizontal="center" vertical="center" wrapText="1"/>
    </xf>
    <xf numFmtId="167" fontId="26" fillId="8" borderId="48" xfId="0" applyNumberFormat="1" applyFont="1" applyFill="1" applyBorder="1" applyAlignment="1">
      <alignment horizontal="center" vertical="center" wrapText="1"/>
    </xf>
    <xf numFmtId="167" fontId="26" fillId="8" borderId="45" xfId="0" applyNumberFormat="1" applyFont="1" applyFill="1" applyBorder="1" applyAlignment="1">
      <alignment horizontal="center" vertical="center" wrapText="1"/>
    </xf>
    <xf numFmtId="9" fontId="25" fillId="0" borderId="2" xfId="0" applyNumberFormat="1" applyFont="1" applyBorder="1" applyAlignment="1">
      <alignment horizontal="center" vertical="center"/>
    </xf>
    <xf numFmtId="9" fontId="25" fillId="0" borderId="48" xfId="0" applyNumberFormat="1" applyFont="1" applyBorder="1" applyAlignment="1">
      <alignment horizontal="center" vertical="center"/>
    </xf>
    <xf numFmtId="9" fontId="25" fillId="0" borderId="45" xfId="0" applyNumberFormat="1" applyFont="1" applyBorder="1" applyAlignment="1">
      <alignment horizontal="center" vertical="center"/>
    </xf>
    <xf numFmtId="167" fontId="28" fillId="4" borderId="6" xfId="0" applyNumberFormat="1" applyFont="1" applyFill="1" applyBorder="1" applyAlignment="1">
      <alignment horizontal="center" vertical="center" wrapText="1"/>
    </xf>
    <xf numFmtId="167" fontId="28" fillId="4" borderId="13" xfId="0" applyNumberFormat="1" applyFont="1" applyFill="1" applyBorder="1" applyAlignment="1">
      <alignment horizontal="center" vertical="center" wrapText="1"/>
    </xf>
    <xf numFmtId="167" fontId="28" fillId="0" borderId="7" xfId="0" applyNumberFormat="1" applyFont="1" applyBorder="1" applyAlignment="1">
      <alignment horizontal="center" vertical="center"/>
    </xf>
    <xf numFmtId="167" fontId="28" fillId="0" borderId="14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167" fontId="26" fillId="8" borderId="6" xfId="0" applyNumberFormat="1" applyFont="1" applyFill="1" applyBorder="1" applyAlignment="1">
      <alignment horizontal="center" vertical="center" wrapText="1"/>
    </xf>
    <xf numFmtId="167" fontId="26" fillId="8" borderId="13" xfId="0" applyNumberFormat="1" applyFont="1" applyFill="1" applyBorder="1" applyAlignment="1">
      <alignment horizontal="center" vertical="center" wrapText="1"/>
    </xf>
    <xf numFmtId="9" fontId="25" fillId="0" borderId="6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167" fontId="28" fillId="4" borderId="31" xfId="0" applyNumberFormat="1" applyFont="1" applyFill="1" applyBorder="1" applyAlignment="1">
      <alignment horizontal="center" vertical="center" wrapText="1"/>
    </xf>
    <xf numFmtId="167" fontId="28" fillId="0" borderId="32" xfId="0" applyNumberFormat="1" applyFont="1" applyBorder="1" applyAlignment="1">
      <alignment horizontal="center" vertical="center"/>
    </xf>
    <xf numFmtId="167" fontId="26" fillId="8" borderId="31" xfId="0" applyNumberFormat="1" applyFont="1" applyFill="1" applyBorder="1" applyAlignment="1">
      <alignment horizontal="center" vertical="center" wrapText="1"/>
    </xf>
    <xf numFmtId="9" fontId="25" fillId="0" borderId="31" xfId="0" applyNumberFormat="1" applyFont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67" fontId="2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7" fontId="10" fillId="0" borderId="1" xfId="0" applyNumberFormat="1" applyFont="1" applyFill="1" applyBorder="1" applyAlignment="1">
      <alignment horizontal="center" vertical="center" wrapText="1"/>
    </xf>
    <xf numFmtId="167" fontId="20" fillId="0" borderId="1" xfId="0" applyNumberFormat="1" applyFont="1" applyFill="1" applyBorder="1" applyAlignment="1">
      <alignment horizontal="center" vertical="center" wrapText="1"/>
    </xf>
    <xf numFmtId="9" fontId="20" fillId="3" borderId="1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25" fillId="11" borderId="8" xfId="0" applyFont="1" applyFill="1" applyBorder="1" applyAlignment="1">
      <alignment horizontal="center" vertical="center" wrapText="1"/>
    </xf>
    <xf numFmtId="0" fontId="25" fillId="11" borderId="11" xfId="0" applyFont="1" applyFill="1" applyBorder="1" applyAlignment="1">
      <alignment horizontal="center" vertical="center" wrapText="1"/>
    </xf>
    <xf numFmtId="167" fontId="26" fillId="8" borderId="44" xfId="0" applyNumberFormat="1" applyFont="1" applyFill="1" applyBorder="1" applyAlignment="1">
      <alignment horizontal="center" vertical="center" wrapText="1"/>
    </xf>
    <xf numFmtId="9" fontId="25" fillId="0" borderId="44" xfId="0" applyNumberFormat="1" applyFont="1" applyBorder="1" applyAlignment="1">
      <alignment horizontal="center" vertical="center"/>
    </xf>
    <xf numFmtId="167" fontId="28" fillId="4" borderId="44" xfId="0" applyNumberFormat="1" applyFont="1" applyFill="1" applyBorder="1" applyAlignment="1">
      <alignment horizontal="center" vertical="center" wrapText="1"/>
    </xf>
    <xf numFmtId="167" fontId="28" fillId="0" borderId="49" xfId="0" applyNumberFormat="1" applyFont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 wrapText="1"/>
    </xf>
    <xf numFmtId="0" fontId="25" fillId="12" borderId="8" xfId="0" applyFont="1" applyFill="1" applyBorder="1" applyAlignment="1">
      <alignment horizontal="center" vertical="center" wrapText="1"/>
    </xf>
    <xf numFmtId="0" fontId="25" fillId="12" borderId="11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8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167" fontId="26" fillId="8" borderId="1" xfId="0" applyNumberFormat="1" applyFont="1" applyFill="1" applyBorder="1" applyAlignment="1">
      <alignment horizontal="center" vertical="center" wrapText="1"/>
    </xf>
    <xf numFmtId="9" fontId="25" fillId="0" borderId="1" xfId="0" applyNumberFormat="1" applyFont="1" applyBorder="1" applyAlignment="1">
      <alignment horizontal="center" vertical="center"/>
    </xf>
    <xf numFmtId="167" fontId="28" fillId="4" borderId="1" xfId="0" applyNumberFormat="1" applyFont="1" applyFill="1" applyBorder="1" applyAlignment="1">
      <alignment horizontal="center" vertical="center" wrapText="1"/>
    </xf>
    <xf numFmtId="167" fontId="28" fillId="0" borderId="10" xfId="0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left" vertical="top"/>
    </xf>
    <xf numFmtId="0" fontId="29" fillId="0" borderId="17" xfId="0" applyFont="1" applyBorder="1" applyAlignment="1">
      <alignment horizontal="left" vertical="top"/>
    </xf>
    <xf numFmtId="0" fontId="29" fillId="0" borderId="29" xfId="0" applyFont="1" applyBorder="1" applyAlignment="1">
      <alignment horizontal="left" vertical="top"/>
    </xf>
    <xf numFmtId="0" fontId="29" fillId="0" borderId="21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22" xfId="0" applyFont="1" applyBorder="1" applyAlignment="1">
      <alignment horizontal="left" vertical="top" wrapText="1"/>
    </xf>
    <xf numFmtId="0" fontId="29" fillId="0" borderId="23" xfId="0" applyFont="1" applyBorder="1" applyAlignment="1">
      <alignment horizontal="left" vertical="top" wrapText="1"/>
    </xf>
    <xf numFmtId="0" fontId="29" fillId="0" borderId="0" xfId="0" applyFont="1" applyBorder="1" applyAlignment="1">
      <alignment horizontal="left" vertical="top" wrapText="1"/>
    </xf>
    <xf numFmtId="0" fontId="29" fillId="0" borderId="24" xfId="0" applyFont="1" applyBorder="1" applyAlignment="1">
      <alignment horizontal="left" vertical="top" wrapText="1"/>
    </xf>
    <xf numFmtId="0" fontId="29" fillId="0" borderId="25" xfId="0" applyFont="1" applyBorder="1" applyAlignment="1">
      <alignment horizontal="left" vertical="top" wrapText="1"/>
    </xf>
    <xf numFmtId="0" fontId="29" fillId="0" borderId="26" xfId="0" applyFont="1" applyBorder="1" applyAlignment="1">
      <alignment horizontal="left" vertical="top" wrapText="1"/>
    </xf>
    <xf numFmtId="0" fontId="29" fillId="0" borderId="27" xfId="0" applyFont="1" applyBorder="1" applyAlignment="1">
      <alignment horizontal="left" vertical="top" wrapText="1"/>
    </xf>
    <xf numFmtId="0" fontId="29" fillId="0" borderId="21" xfId="0" applyFont="1" applyBorder="1" applyAlignment="1">
      <alignment horizontal="left" vertical="top"/>
    </xf>
    <xf numFmtId="0" fontId="29" fillId="0" borderId="3" xfId="0" applyFont="1" applyBorder="1" applyAlignment="1">
      <alignment horizontal="left" vertical="top"/>
    </xf>
    <xf numFmtId="0" fontId="29" fillId="0" borderId="22" xfId="0" applyFont="1" applyBorder="1" applyAlignment="1">
      <alignment horizontal="left" vertical="top"/>
    </xf>
    <xf numFmtId="0" fontId="29" fillId="0" borderId="25" xfId="0" applyFont="1" applyBorder="1" applyAlignment="1">
      <alignment horizontal="left" vertical="top"/>
    </xf>
    <xf numFmtId="0" fontId="29" fillId="0" borderId="26" xfId="0" applyFont="1" applyBorder="1" applyAlignment="1">
      <alignment horizontal="left" vertical="top"/>
    </xf>
    <xf numFmtId="0" fontId="29" fillId="0" borderId="27" xfId="0" applyFont="1" applyBorder="1" applyAlignment="1">
      <alignment horizontal="left" vertical="top"/>
    </xf>
    <xf numFmtId="0" fontId="29" fillId="0" borderId="28" xfId="0" applyFont="1" applyBorder="1" applyAlignment="1">
      <alignment horizontal="left"/>
    </xf>
    <xf numFmtId="0" fontId="29" fillId="0" borderId="17" xfId="0" applyFont="1" applyBorder="1" applyAlignment="1">
      <alignment horizontal="left"/>
    </xf>
    <xf numFmtId="0" fontId="30" fillId="0" borderId="28" xfId="0" applyFont="1" applyBorder="1" applyAlignment="1">
      <alignment horizontal="left"/>
    </xf>
    <xf numFmtId="0" fontId="30" fillId="0" borderId="17" xfId="0" applyFont="1" applyBorder="1" applyAlignment="1">
      <alignment horizontal="left"/>
    </xf>
    <xf numFmtId="0" fontId="25" fillId="13" borderId="4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0" fontId="25" fillId="13" borderId="1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left"/>
    </xf>
    <xf numFmtId="0" fontId="30" fillId="0" borderId="29" xfId="0" applyFont="1" applyBorder="1" applyAlignment="1">
      <alignment horizontal="left"/>
    </xf>
    <xf numFmtId="0" fontId="9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5" fillId="6" borderId="22" xfId="0" applyFont="1" applyFill="1" applyBorder="1" applyAlignment="1">
      <alignment horizontal="center" vertical="center" wrapText="1"/>
    </xf>
    <xf numFmtId="0" fontId="54" fillId="6" borderId="21" xfId="0" applyFont="1" applyFill="1" applyBorder="1" applyAlignment="1">
      <alignment horizontal="center"/>
    </xf>
    <xf numFmtId="0" fontId="54" fillId="6" borderId="3" xfId="0" applyFont="1" applyFill="1" applyBorder="1" applyAlignment="1">
      <alignment horizontal="center"/>
    </xf>
    <xf numFmtId="0" fontId="54" fillId="6" borderId="22" xfId="0" applyFont="1" applyFill="1" applyBorder="1" applyAlignment="1">
      <alignment horizontal="center"/>
    </xf>
    <xf numFmtId="0" fontId="54" fillId="6" borderId="23" xfId="0" applyFont="1" applyFill="1" applyBorder="1" applyAlignment="1">
      <alignment horizontal="center"/>
    </xf>
    <xf numFmtId="0" fontId="54" fillId="6" borderId="0" xfId="0" applyFont="1" applyFill="1" applyBorder="1" applyAlignment="1">
      <alignment horizontal="center"/>
    </xf>
    <xf numFmtId="0" fontId="54" fillId="6" borderId="24" xfId="0" applyFont="1" applyFill="1" applyBorder="1" applyAlignment="1">
      <alignment horizontal="center"/>
    </xf>
    <xf numFmtId="0" fontId="54" fillId="6" borderId="25" xfId="0" applyFont="1" applyFill="1" applyBorder="1" applyAlignment="1">
      <alignment horizontal="center"/>
    </xf>
    <xf numFmtId="0" fontId="54" fillId="6" borderId="26" xfId="0" applyFont="1" applyFill="1" applyBorder="1" applyAlignment="1">
      <alignment horizontal="center"/>
    </xf>
    <xf numFmtId="0" fontId="54" fillId="6" borderId="27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3" fillId="4" borderId="44" xfId="0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horizontal="center" vertical="center"/>
    </xf>
    <xf numFmtId="167" fontId="24" fillId="4" borderId="44" xfId="0" applyNumberFormat="1" applyFont="1" applyFill="1" applyBorder="1" applyAlignment="1">
      <alignment horizontal="center" vertical="center" wrapText="1"/>
    </xf>
    <xf numFmtId="167" fontId="24" fillId="4" borderId="45" xfId="0" applyNumberFormat="1" applyFont="1" applyFill="1" applyBorder="1" applyAlignment="1">
      <alignment horizontal="center" vertical="center" wrapText="1"/>
    </xf>
    <xf numFmtId="2" fontId="24" fillId="4" borderId="44" xfId="0" applyNumberFormat="1" applyFont="1" applyFill="1" applyBorder="1" applyAlignment="1">
      <alignment horizontal="center" vertical="center" wrapText="1"/>
    </xf>
    <xf numFmtId="2" fontId="24" fillId="4" borderId="45" xfId="0" applyNumberFormat="1" applyFont="1" applyFill="1" applyBorder="1" applyAlignment="1">
      <alignment horizontal="center" vertical="center" wrapText="1"/>
    </xf>
    <xf numFmtId="167" fontId="18" fillId="4" borderId="44" xfId="0" applyNumberFormat="1" applyFont="1" applyFill="1" applyBorder="1" applyAlignment="1">
      <alignment horizontal="center" vertical="center" wrapText="1"/>
    </xf>
    <xf numFmtId="167" fontId="18" fillId="4" borderId="45" xfId="0" applyNumberFormat="1" applyFont="1" applyFill="1" applyBorder="1" applyAlignment="1">
      <alignment horizontal="center" vertical="center" wrapText="1"/>
    </xf>
    <xf numFmtId="2" fontId="17" fillId="4" borderId="44" xfId="0" applyNumberFormat="1" applyFont="1" applyFill="1" applyBorder="1" applyAlignment="1">
      <alignment horizontal="center" vertical="center" wrapText="1"/>
    </xf>
    <xf numFmtId="2" fontId="17" fillId="4" borderId="45" xfId="0" applyNumberFormat="1" applyFont="1" applyFill="1" applyBorder="1" applyAlignment="1">
      <alignment horizontal="center" vertical="center" wrapText="1"/>
    </xf>
    <xf numFmtId="9" fontId="18" fillId="4" borderId="44" xfId="0" applyNumberFormat="1" applyFont="1" applyFill="1" applyBorder="1" applyAlignment="1">
      <alignment horizontal="center" vertical="center" wrapText="1"/>
    </xf>
    <xf numFmtId="9" fontId="18" fillId="4" borderId="45" xfId="0" applyNumberFormat="1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7" fontId="10" fillId="0" borderId="44" xfId="0" applyNumberFormat="1" applyFont="1" applyFill="1" applyBorder="1" applyAlignment="1">
      <alignment horizontal="center" vertical="center" wrapText="1"/>
    </xf>
    <xf numFmtId="167" fontId="10" fillId="0" borderId="48" xfId="0" applyNumberFormat="1" applyFont="1" applyFill="1" applyBorder="1" applyAlignment="1">
      <alignment horizontal="center" vertical="center" wrapText="1"/>
    </xf>
    <xf numFmtId="167" fontId="10" fillId="0" borderId="45" xfId="0" applyNumberFormat="1" applyFont="1" applyFill="1" applyBorder="1" applyAlignment="1">
      <alignment horizontal="center" vertical="center" wrapText="1"/>
    </xf>
    <xf numFmtId="9" fontId="20" fillId="0" borderId="44" xfId="0" applyNumberFormat="1" applyFont="1" applyFill="1" applyBorder="1" applyAlignment="1">
      <alignment horizontal="center" vertical="center" wrapText="1"/>
    </xf>
    <xf numFmtId="9" fontId="20" fillId="0" borderId="48" xfId="0" applyNumberFormat="1" applyFont="1" applyFill="1" applyBorder="1" applyAlignment="1">
      <alignment horizontal="center" vertical="center" wrapText="1"/>
    </xf>
    <xf numFmtId="9" fontId="20" fillId="0" borderId="45" xfId="0" applyNumberFormat="1" applyFont="1" applyFill="1" applyBorder="1" applyAlignment="1">
      <alignment horizontal="center" vertical="center" wrapText="1"/>
    </xf>
    <xf numFmtId="167" fontId="25" fillId="0" borderId="44" xfId="0" applyNumberFormat="1" applyFont="1" applyFill="1" applyBorder="1" applyAlignment="1">
      <alignment horizontal="center" vertical="center"/>
    </xf>
    <xf numFmtId="167" fontId="25" fillId="0" borderId="48" xfId="0" applyNumberFormat="1" applyFont="1" applyFill="1" applyBorder="1" applyAlignment="1">
      <alignment horizontal="center" vertical="center"/>
    </xf>
    <xf numFmtId="167" fontId="25" fillId="0" borderId="45" xfId="0" applyNumberFormat="1" applyFont="1" applyFill="1" applyBorder="1" applyAlignment="1">
      <alignment horizontal="center" vertical="center"/>
    </xf>
    <xf numFmtId="2" fontId="20" fillId="0" borderId="44" xfId="0" applyNumberFormat="1" applyFont="1" applyFill="1" applyBorder="1" applyAlignment="1">
      <alignment horizontal="center" vertical="center" wrapText="1"/>
    </xf>
    <xf numFmtId="2" fontId="20" fillId="0" borderId="48" xfId="0" applyNumberFormat="1" applyFont="1" applyFill="1" applyBorder="1" applyAlignment="1">
      <alignment horizontal="center" vertical="center" wrapText="1"/>
    </xf>
    <xf numFmtId="2" fontId="20" fillId="0" borderId="45" xfId="0" applyNumberFormat="1" applyFont="1" applyFill="1" applyBorder="1" applyAlignment="1">
      <alignment horizontal="center" vertical="center" wrapText="1"/>
    </xf>
    <xf numFmtId="167" fontId="20" fillId="0" borderId="44" xfId="0" applyNumberFormat="1" applyFont="1" applyFill="1" applyBorder="1" applyAlignment="1">
      <alignment horizontal="center" vertical="center" wrapText="1"/>
    </xf>
    <xf numFmtId="167" fontId="20" fillId="0" borderId="48" xfId="0" applyNumberFormat="1" applyFont="1" applyFill="1" applyBorder="1" applyAlignment="1">
      <alignment horizontal="center" vertical="center" wrapText="1"/>
    </xf>
    <xf numFmtId="167" fontId="20" fillId="0" borderId="45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U2"/>
  <sheetViews>
    <sheetView zoomScale="70" zoomScaleNormal="7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0.7109375" style="201" customWidth="1"/>
    <col min="2" max="2" width="13" style="201" customWidth="1"/>
    <col min="3" max="3" width="12.7109375" style="201" customWidth="1"/>
    <col min="4" max="4" width="11.5703125" style="201" customWidth="1"/>
    <col min="5" max="5" width="11.7109375" style="201" customWidth="1"/>
    <col min="6" max="6" width="11" style="201" customWidth="1"/>
    <col min="7" max="7" width="12.42578125" style="201" customWidth="1"/>
    <col min="8" max="8" width="11.42578125" style="201" customWidth="1"/>
    <col min="9" max="9" width="12.140625" style="201" customWidth="1"/>
    <col min="10" max="10" width="18.140625" style="201" customWidth="1"/>
    <col min="11" max="11" width="14" style="201" customWidth="1"/>
    <col min="12" max="12" width="17.7109375" style="201" customWidth="1"/>
    <col min="13" max="13" width="16.42578125" style="201" customWidth="1"/>
    <col min="14" max="14" width="10.5703125" style="201" customWidth="1"/>
    <col min="15" max="15" width="16.42578125" style="201" customWidth="1"/>
    <col min="16" max="16" width="12.85546875" style="201" customWidth="1"/>
    <col min="17" max="17" width="15.42578125" style="201" customWidth="1"/>
    <col min="18" max="18" width="13.5703125" style="201" customWidth="1"/>
    <col min="19" max="19" width="9.7109375" style="201" customWidth="1"/>
    <col min="20" max="20" width="20.5703125" style="201" customWidth="1"/>
    <col min="21" max="21" width="13" style="201" customWidth="1"/>
    <col min="22" max="22" width="19.28515625" customWidth="1"/>
  </cols>
  <sheetData>
    <row r="1" spans="1:21" ht="72" customHeight="1" x14ac:dyDescent="0.25">
      <c r="A1" s="151" t="s">
        <v>1</v>
      </c>
      <c r="B1" s="151" t="s">
        <v>2</v>
      </c>
      <c r="C1" s="152" t="s">
        <v>3</v>
      </c>
      <c r="D1" s="151" t="s">
        <v>4</v>
      </c>
      <c r="E1" s="151" t="s">
        <v>45</v>
      </c>
      <c r="F1" s="151" t="s">
        <v>5</v>
      </c>
      <c r="G1" s="151" t="s">
        <v>6</v>
      </c>
      <c r="H1" s="151" t="s">
        <v>7</v>
      </c>
      <c r="I1" s="151" t="s">
        <v>8</v>
      </c>
      <c r="J1" s="151" t="s">
        <v>9</v>
      </c>
      <c r="K1" s="153" t="s">
        <v>35</v>
      </c>
      <c r="L1" s="151" t="s">
        <v>10</v>
      </c>
      <c r="M1" s="151" t="s">
        <v>11</v>
      </c>
      <c r="N1" s="151" t="s">
        <v>12</v>
      </c>
      <c r="O1" s="151" t="s">
        <v>13</v>
      </c>
      <c r="P1" s="152" t="s">
        <v>14</v>
      </c>
      <c r="Q1" s="152" t="s">
        <v>15</v>
      </c>
      <c r="R1" s="154" t="s">
        <v>72</v>
      </c>
      <c r="S1" s="154" t="s">
        <v>17</v>
      </c>
      <c r="T1" s="151" t="s">
        <v>18</v>
      </c>
      <c r="U1" s="155" t="s">
        <v>14</v>
      </c>
    </row>
    <row r="2" spans="1:21" ht="18.75" x14ac:dyDescent="0.25">
      <c r="A2" s="187"/>
      <c r="B2" s="188"/>
      <c r="C2" s="189" t="e">
        <f>A2/B2</f>
        <v>#DIV/0!</v>
      </c>
      <c r="D2" s="190"/>
      <c r="E2" s="190">
        <v>1</v>
      </c>
      <c r="F2" s="189" t="e">
        <f>(C2+D2)/4*E2</f>
        <v>#DIV/0!</v>
      </c>
      <c r="G2" s="191"/>
      <c r="H2" s="192">
        <f>0.64*0.9*G2/1000</f>
        <v>0</v>
      </c>
      <c r="I2" s="193"/>
      <c r="J2" s="194" t="e">
        <f>(C2+D2)*I2*E2</f>
        <v>#DIV/0!</v>
      </c>
      <c r="K2" s="195">
        <f>4*250*E2</f>
        <v>1000</v>
      </c>
      <c r="L2" s="196" t="e">
        <f>J2*0.5</f>
        <v>#DIV/0!</v>
      </c>
      <c r="M2" s="196" t="e">
        <f>J2+K2+L2</f>
        <v>#DIV/0!</v>
      </c>
      <c r="N2" s="175">
        <v>2.7</v>
      </c>
      <c r="O2" s="197" t="e">
        <f>M2*N2</f>
        <v>#DIV/0!</v>
      </c>
      <c r="P2" s="198" t="e">
        <f>O2/A2</f>
        <v>#DIV/0!</v>
      </c>
      <c r="Q2" s="198" t="e">
        <f>H2*F2*7</f>
        <v>#DIV/0!</v>
      </c>
      <c r="R2" s="199"/>
      <c r="S2" s="200">
        <v>0</v>
      </c>
      <c r="T2" s="197" t="e">
        <f>(R2+O2)+((O2+R2)*S2)+Q2</f>
        <v>#DIV/0!</v>
      </c>
      <c r="U2" s="156" t="e">
        <f>T2/A2</f>
        <v>#DIV/0!</v>
      </c>
    </row>
  </sheetData>
  <autoFilter ref="A1:U1" xr:uid="{00000000-0009-0000-0000-000000000000}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499984740745262"/>
    <pageSetUpPr fitToPage="1"/>
  </sheetPr>
  <dimension ref="A1:N2"/>
  <sheetViews>
    <sheetView topLeftCell="B1" zoomScale="130" zoomScaleNormal="130" workbookViewId="0">
      <selection activeCell="D4" sqref="D4"/>
    </sheetView>
  </sheetViews>
  <sheetFormatPr defaultRowHeight="15" x14ac:dyDescent="0.25"/>
  <cols>
    <col min="1" max="1" width="16.28515625" customWidth="1"/>
    <col min="7" max="7" width="10.140625" customWidth="1"/>
    <col min="9" max="9" width="14.140625" bestFit="1" customWidth="1"/>
    <col min="11" max="11" width="10.42578125" customWidth="1"/>
    <col min="14" max="14" width="13.5703125" customWidth="1"/>
    <col min="15" max="15" width="18.140625" customWidth="1"/>
  </cols>
  <sheetData>
    <row r="1" spans="1:14" s="104" customFormat="1" ht="27" x14ac:dyDescent="0.2">
      <c r="A1" s="157" t="s">
        <v>71</v>
      </c>
      <c r="B1" s="158" t="s">
        <v>20</v>
      </c>
      <c r="C1" s="159" t="s">
        <v>2</v>
      </c>
      <c r="D1" s="159" t="s">
        <v>3</v>
      </c>
      <c r="E1" s="159" t="s">
        <v>4</v>
      </c>
      <c r="F1" s="159" t="s">
        <v>5</v>
      </c>
      <c r="G1" s="160" t="s">
        <v>77</v>
      </c>
      <c r="H1" s="159" t="s">
        <v>8</v>
      </c>
      <c r="I1" s="159" t="s">
        <v>69</v>
      </c>
      <c r="J1" s="159" t="s">
        <v>55</v>
      </c>
      <c r="K1" s="161" t="s">
        <v>70</v>
      </c>
      <c r="L1" s="161" t="s">
        <v>57</v>
      </c>
      <c r="M1" s="162" t="s">
        <v>50</v>
      </c>
      <c r="N1" s="159" t="s">
        <v>51</v>
      </c>
    </row>
    <row r="2" spans="1:14" x14ac:dyDescent="0.25">
      <c r="A2" s="163" t="s">
        <v>78</v>
      </c>
      <c r="B2" s="164"/>
      <c r="C2" s="165"/>
      <c r="D2" s="166" t="e">
        <f>B2/C2</f>
        <v>#DIV/0!</v>
      </c>
      <c r="E2" s="167">
        <v>100</v>
      </c>
      <c r="F2" s="166" t="e">
        <f>(D2+E2)/4</f>
        <v>#DIV/0!</v>
      </c>
      <c r="G2" s="168">
        <v>40</v>
      </c>
      <c r="H2" s="168">
        <v>14</v>
      </c>
      <c r="I2" s="167"/>
      <c r="J2" s="169" t="e">
        <f t="shared" ref="J2" si="0">((D2*(G2+H2))+E2)*1.1+I2</f>
        <v>#DIV/0!</v>
      </c>
      <c r="K2" s="170"/>
      <c r="L2" s="171">
        <v>0</v>
      </c>
      <c r="M2" s="172" t="e">
        <f>N2/B2</f>
        <v>#DIV/0!</v>
      </c>
      <c r="N2" s="173" t="e">
        <f>(J2+K2+I2)+((J2+K2+I2)*L2)</f>
        <v>#DIV/0!</v>
      </c>
    </row>
  </sheetData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M2"/>
  <sheetViews>
    <sheetView zoomScaleNormal="100" workbookViewId="0">
      <selection activeCell="B2" sqref="B2"/>
    </sheetView>
  </sheetViews>
  <sheetFormatPr defaultRowHeight="15" x14ac:dyDescent="0.25"/>
  <cols>
    <col min="3" max="5" width="9.140625" customWidth="1"/>
    <col min="6" max="6" width="14" customWidth="1"/>
    <col min="7" max="7" width="15" customWidth="1"/>
    <col min="8" max="8" width="14.5703125" customWidth="1"/>
    <col min="9" max="9" width="10.28515625" customWidth="1"/>
    <col min="10" max="10" width="12" customWidth="1"/>
    <col min="11" max="12" width="9.140625" customWidth="1"/>
    <col min="13" max="13" width="12.140625" customWidth="1"/>
    <col min="14" max="14" width="25.140625" customWidth="1"/>
  </cols>
  <sheetData>
    <row r="1" spans="1:13" s="104" customFormat="1" ht="51" x14ac:dyDescent="0.2">
      <c r="A1" s="116" t="s">
        <v>20</v>
      </c>
      <c r="B1" s="101" t="s">
        <v>76</v>
      </c>
      <c r="C1" s="101" t="s">
        <v>48</v>
      </c>
      <c r="D1" s="101" t="s">
        <v>4</v>
      </c>
      <c r="E1" s="101" t="s">
        <v>5</v>
      </c>
      <c r="F1" s="100" t="s">
        <v>49</v>
      </c>
      <c r="G1" s="101" t="s">
        <v>75</v>
      </c>
      <c r="H1" s="101" t="s">
        <v>68</v>
      </c>
      <c r="I1" s="101" t="s">
        <v>55</v>
      </c>
      <c r="J1" s="102" t="s">
        <v>56</v>
      </c>
      <c r="K1" s="102" t="s">
        <v>74</v>
      </c>
      <c r="L1" s="103" t="s">
        <v>50</v>
      </c>
      <c r="M1" s="101" t="s">
        <v>51</v>
      </c>
    </row>
    <row r="2" spans="1:13" x14ac:dyDescent="0.25">
      <c r="A2" s="105"/>
      <c r="B2" s="106"/>
      <c r="C2" s="107" t="e">
        <f>A2/B2</f>
        <v>#DIV/0!</v>
      </c>
      <c r="D2" s="108">
        <v>100</v>
      </c>
      <c r="E2" s="107" t="e">
        <f>(C2+D2)/8</f>
        <v>#DIV/0!</v>
      </c>
      <c r="F2" s="109">
        <v>20</v>
      </c>
      <c r="G2" s="109">
        <v>7</v>
      </c>
      <c r="H2" s="108"/>
      <c r="I2" s="110" t="e">
        <f>((C2*(F2+G2))+D2)*1.1+76</f>
        <v>#DIV/0!</v>
      </c>
      <c r="J2" s="111"/>
      <c r="K2" s="112">
        <v>0</v>
      </c>
      <c r="L2" s="113" t="e">
        <f>M2/A2</f>
        <v>#DIV/0!</v>
      </c>
      <c r="M2" s="114" t="e">
        <f>(I2+J2+H2)+((I2+J2+H2)*K2)</f>
        <v>#DIV/0!</v>
      </c>
    </row>
  </sheetData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W5"/>
  <sheetViews>
    <sheetView tabSelected="1" zoomScale="80" zoomScaleNormal="80" workbookViewId="0">
      <selection activeCell="Q3" sqref="Q3:Q5"/>
    </sheetView>
  </sheetViews>
  <sheetFormatPr defaultRowHeight="15" x14ac:dyDescent="0.25"/>
  <cols>
    <col min="1" max="1" width="21.42578125" customWidth="1"/>
    <col min="2" max="2" width="22.140625" customWidth="1"/>
    <col min="3" max="3" width="13.85546875" customWidth="1"/>
    <col min="6" max="6" width="10" customWidth="1"/>
    <col min="11" max="12" width="9.140625" customWidth="1"/>
    <col min="13" max="13" width="15.42578125" customWidth="1"/>
    <col min="14" max="14" width="10.5703125" customWidth="1"/>
    <col min="15" max="15" width="14" customWidth="1"/>
    <col min="16" max="16" width="11.5703125" customWidth="1"/>
    <col min="18" max="18" width="13.85546875" customWidth="1"/>
    <col min="20" max="20" width="17.5703125" customWidth="1"/>
    <col min="22" max="22" width="15.7109375" customWidth="1"/>
  </cols>
  <sheetData>
    <row r="1" spans="1:23" ht="15.75" thickBot="1" x14ac:dyDescent="0.3">
      <c r="A1" s="296" t="s">
        <v>147</v>
      </c>
      <c r="B1" s="269" t="s">
        <v>37</v>
      </c>
      <c r="C1" s="67">
        <v>1</v>
      </c>
      <c r="D1" s="68">
        <v>2</v>
      </c>
      <c r="E1" s="68">
        <v>3</v>
      </c>
      <c r="F1" s="68">
        <v>4</v>
      </c>
      <c r="G1" s="68">
        <v>5</v>
      </c>
      <c r="H1" s="68">
        <v>6</v>
      </c>
      <c r="I1" s="68">
        <v>7</v>
      </c>
      <c r="J1" s="68">
        <v>8</v>
      </c>
      <c r="K1" s="68">
        <v>9</v>
      </c>
      <c r="L1" s="68">
        <v>10</v>
      </c>
      <c r="M1" s="68">
        <v>11</v>
      </c>
      <c r="N1" s="68">
        <v>12</v>
      </c>
      <c r="O1" s="68">
        <v>13</v>
      </c>
      <c r="P1" s="68">
        <v>14</v>
      </c>
      <c r="Q1" s="68">
        <v>15</v>
      </c>
      <c r="R1" s="68">
        <v>16</v>
      </c>
      <c r="S1" s="68">
        <v>17</v>
      </c>
      <c r="T1" s="68">
        <v>18</v>
      </c>
      <c r="U1" s="68">
        <v>19</v>
      </c>
      <c r="V1" s="68">
        <v>20</v>
      </c>
      <c r="W1" s="69">
        <v>21</v>
      </c>
    </row>
    <row r="2" spans="1:23" ht="60.75" thickBot="1" x14ac:dyDescent="0.3">
      <c r="A2" s="267"/>
      <c r="B2" s="270"/>
      <c r="C2" s="60" t="s">
        <v>20</v>
      </c>
      <c r="D2" s="61" t="s">
        <v>2</v>
      </c>
      <c r="E2" s="62" t="s">
        <v>3</v>
      </c>
      <c r="F2" s="61" t="s">
        <v>4</v>
      </c>
      <c r="G2" s="61" t="s">
        <v>21</v>
      </c>
      <c r="H2" s="61" t="s">
        <v>22</v>
      </c>
      <c r="I2" s="63" t="s">
        <v>5</v>
      </c>
      <c r="J2" s="61" t="s">
        <v>6</v>
      </c>
      <c r="K2" s="61" t="s">
        <v>7</v>
      </c>
      <c r="L2" s="61" t="s">
        <v>8</v>
      </c>
      <c r="M2" s="61" t="s">
        <v>9</v>
      </c>
      <c r="N2" s="64" t="s">
        <v>23</v>
      </c>
      <c r="O2" s="61" t="s">
        <v>36</v>
      </c>
      <c r="P2" s="61" t="s">
        <v>11</v>
      </c>
      <c r="Q2" s="61" t="s">
        <v>12</v>
      </c>
      <c r="R2" s="61" t="s">
        <v>13</v>
      </c>
      <c r="S2" s="61" t="s">
        <v>15</v>
      </c>
      <c r="T2" s="65" t="s">
        <v>24</v>
      </c>
      <c r="U2" s="61" t="s">
        <v>25</v>
      </c>
      <c r="V2" s="61" t="s">
        <v>18</v>
      </c>
      <c r="W2" s="66" t="s">
        <v>26</v>
      </c>
    </row>
    <row r="3" spans="1:23" ht="15.75" thickBot="1" x14ac:dyDescent="0.3">
      <c r="A3" s="267"/>
      <c r="B3" s="95" t="s">
        <v>27</v>
      </c>
      <c r="C3" s="54"/>
      <c r="D3" s="25"/>
      <c r="E3" s="26" t="e">
        <f>C3/D3</f>
        <v>#DIV/0!</v>
      </c>
      <c r="F3" s="27">
        <v>100</v>
      </c>
      <c r="G3" s="183"/>
      <c r="H3" s="27" t="e">
        <f>(E3+F3)*G3</f>
        <v>#DIV/0!</v>
      </c>
      <c r="I3" s="52"/>
      <c r="J3" s="71"/>
      <c r="K3" s="55">
        <f>0.64*0.9*J3/1000</f>
        <v>0</v>
      </c>
      <c r="L3" s="29"/>
      <c r="M3" s="247" t="e">
        <f>(E3+F3)*G3*L3</f>
        <v>#DIV/0!</v>
      </c>
      <c r="N3" s="248"/>
      <c r="O3" s="249" t="e">
        <f>M3*0.55</f>
        <v>#DIV/0!</v>
      </c>
      <c r="P3" s="249" t="e">
        <f>M3+N3+O3</f>
        <v>#DIV/0!</v>
      </c>
      <c r="Q3" s="271">
        <v>2</v>
      </c>
      <c r="R3" s="33" t="e">
        <f>P3*Q3</f>
        <v>#DIV/0!</v>
      </c>
      <c r="S3" s="74">
        <f>I3*K3*9+250</f>
        <v>250</v>
      </c>
      <c r="T3" s="274">
        <f>C5*0.46</f>
        <v>0</v>
      </c>
      <c r="U3" s="277">
        <v>0.1</v>
      </c>
      <c r="V3" s="261" t="e">
        <f>(R3+R5+R4+T3)+((R3+R5+R4+T3)*U3)+(S3+S4+S5)</f>
        <v>#DIV/0!</v>
      </c>
      <c r="W3" s="264" t="e">
        <f>V3/C5</f>
        <v>#DIV/0!</v>
      </c>
    </row>
    <row r="4" spans="1:23" ht="15.75" thickBot="1" x14ac:dyDescent="0.3">
      <c r="A4" s="267"/>
      <c r="B4" s="202" t="s">
        <v>27</v>
      </c>
      <c r="C4" s="203"/>
      <c r="D4" s="204"/>
      <c r="E4" s="205" t="e">
        <f>C4/D4</f>
        <v>#DIV/0!</v>
      </c>
      <c r="F4" s="206">
        <v>0</v>
      </c>
      <c r="G4" s="207"/>
      <c r="H4" s="206" t="e">
        <f>(E4+F4)*G4</f>
        <v>#DIV/0!</v>
      </c>
      <c r="I4" s="208"/>
      <c r="J4" s="209"/>
      <c r="K4" s="210">
        <f>0.64*0.9*J4/1000</f>
        <v>0</v>
      </c>
      <c r="L4" s="211"/>
      <c r="M4" s="212" t="e">
        <f>(E4+F4)*G4*L4</f>
        <v>#DIV/0!</v>
      </c>
      <c r="N4" s="213"/>
      <c r="O4" s="214" t="e">
        <f>M4*0.55</f>
        <v>#DIV/0!</v>
      </c>
      <c r="P4" s="214" t="e">
        <f>M4+N4+O4</f>
        <v>#DIV/0!</v>
      </c>
      <c r="Q4" s="272"/>
      <c r="R4" s="33" t="e">
        <f>P4*Q3</f>
        <v>#DIV/0!</v>
      </c>
      <c r="S4" s="74">
        <f>I4*K4*9</f>
        <v>0</v>
      </c>
      <c r="T4" s="275"/>
      <c r="U4" s="278"/>
      <c r="V4" s="262"/>
      <c r="W4" s="265"/>
    </row>
    <row r="5" spans="1:23" x14ac:dyDescent="0.25">
      <c r="A5" s="268"/>
      <c r="B5" s="96" t="s">
        <v>29</v>
      </c>
      <c r="C5" s="56"/>
      <c r="D5" s="35"/>
      <c r="E5" s="36" t="e">
        <f>C5/D5</f>
        <v>#DIV/0!</v>
      </c>
      <c r="F5" s="37">
        <v>100</v>
      </c>
      <c r="G5" s="219"/>
      <c r="H5" s="37" t="e">
        <f>(E5+F5)*G5</f>
        <v>#DIV/0!</v>
      </c>
      <c r="I5" s="51" t="e">
        <f>H5/4</f>
        <v>#DIV/0!</v>
      </c>
      <c r="J5" s="72"/>
      <c r="K5" s="13">
        <f>0.64*0.9*J5/1000</f>
        <v>0</v>
      </c>
      <c r="L5" s="38"/>
      <c r="M5" s="39" t="e">
        <f>(E5+F5)*L5</f>
        <v>#DIV/0!</v>
      </c>
      <c r="N5" s="220"/>
      <c r="O5" s="41" t="e">
        <f>M5*0.55</f>
        <v>#DIV/0!</v>
      </c>
      <c r="P5" s="41" t="e">
        <f>M5+N5+O5</f>
        <v>#DIV/0!</v>
      </c>
      <c r="Q5" s="273"/>
      <c r="R5" s="42" t="e">
        <f>P5*Q3</f>
        <v>#DIV/0!</v>
      </c>
      <c r="S5" s="74" t="e">
        <f t="shared" ref="S5" si="0">I5*K5*9</f>
        <v>#DIV/0!</v>
      </c>
      <c r="T5" s="276"/>
      <c r="U5" s="279"/>
      <c r="V5" s="263"/>
      <c r="W5" s="266"/>
    </row>
  </sheetData>
  <mergeCells count="7">
    <mergeCell ref="A1:A5"/>
    <mergeCell ref="B1:B2"/>
    <mergeCell ref="Q3:Q5"/>
    <mergeCell ref="T3:T5"/>
    <mergeCell ref="U3:U5"/>
    <mergeCell ref="V3:V5"/>
    <mergeCell ref="W3:W5"/>
  </mergeCells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-0.249977111117893"/>
  </sheetPr>
  <dimension ref="A1:P6"/>
  <sheetViews>
    <sheetView zoomScale="110" zoomScaleNormal="110" workbookViewId="0">
      <selection activeCell="B4" sqref="B4"/>
    </sheetView>
  </sheetViews>
  <sheetFormatPr defaultRowHeight="15" x14ac:dyDescent="0.25"/>
  <cols>
    <col min="1" max="1" width="13.28515625" customWidth="1"/>
    <col min="2" max="2" width="7.7109375" customWidth="1"/>
    <col min="3" max="3" width="7" customWidth="1"/>
    <col min="4" max="4" width="8.5703125" customWidth="1"/>
    <col min="9" max="9" width="11" customWidth="1"/>
    <col min="11" max="11" width="13.5703125" customWidth="1"/>
  </cols>
  <sheetData>
    <row r="1" spans="1:16" ht="51" x14ac:dyDescent="0.25">
      <c r="A1" s="115" t="s">
        <v>101</v>
      </c>
      <c r="B1" s="115"/>
      <c r="C1" s="116" t="s">
        <v>108</v>
      </c>
      <c r="D1" s="116" t="s">
        <v>20</v>
      </c>
      <c r="E1" s="101" t="s">
        <v>2</v>
      </c>
      <c r="F1" s="101" t="s">
        <v>3</v>
      </c>
      <c r="G1" s="101" t="s">
        <v>4</v>
      </c>
      <c r="H1" s="101" t="s">
        <v>5</v>
      </c>
      <c r="I1" s="100" t="s">
        <v>49</v>
      </c>
      <c r="J1" s="101" t="s">
        <v>75</v>
      </c>
      <c r="K1" s="101" t="s">
        <v>115</v>
      </c>
      <c r="L1" s="101" t="s">
        <v>55</v>
      </c>
      <c r="M1" s="102" t="s">
        <v>69</v>
      </c>
      <c r="N1" s="102" t="s">
        <v>74</v>
      </c>
      <c r="O1" s="101" t="s">
        <v>106</v>
      </c>
      <c r="P1" s="101" t="s">
        <v>107</v>
      </c>
    </row>
    <row r="2" spans="1:16" ht="21" customHeight="1" x14ac:dyDescent="0.25">
      <c r="A2" s="298" t="s">
        <v>111</v>
      </c>
      <c r="B2" s="215" t="s">
        <v>112</v>
      </c>
      <c r="C2" s="215" t="s">
        <v>114</v>
      </c>
      <c r="D2" s="217">
        <v>30</v>
      </c>
      <c r="E2" s="106">
        <v>1</v>
      </c>
      <c r="F2" s="107">
        <f>D2/E2</f>
        <v>30</v>
      </c>
      <c r="G2" s="299">
        <v>100</v>
      </c>
      <c r="H2" s="107">
        <f>F2/4</f>
        <v>7.5</v>
      </c>
      <c r="I2" s="109">
        <v>40</v>
      </c>
      <c r="J2" s="109">
        <v>7</v>
      </c>
      <c r="K2" s="299">
        <f>C4+C5+C6</f>
        <v>1260</v>
      </c>
      <c r="L2" s="110">
        <f>F2*(I2+J2)</f>
        <v>1410</v>
      </c>
      <c r="M2" s="300">
        <f>F2+F3*9</f>
        <v>300</v>
      </c>
      <c r="N2" s="301">
        <v>0.67</v>
      </c>
      <c r="O2" s="302">
        <f>(L2+L3+K2+M2)+(L2+L3+K2+M2)*N2+G2</f>
        <v>5410.6</v>
      </c>
      <c r="P2" s="297">
        <f>O2/D2</f>
        <v>180.35333333333335</v>
      </c>
    </row>
    <row r="3" spans="1:16" ht="19.5" customHeight="1" x14ac:dyDescent="0.25">
      <c r="A3" s="298"/>
      <c r="B3" s="215" t="s">
        <v>113</v>
      </c>
      <c r="C3" s="215" t="s">
        <v>114</v>
      </c>
      <c r="D3" s="217">
        <v>30</v>
      </c>
      <c r="E3" s="106">
        <v>1</v>
      </c>
      <c r="F3" s="107">
        <f>D3/E3</f>
        <v>30</v>
      </c>
      <c r="G3" s="299"/>
      <c r="H3" s="107">
        <f>F3/4</f>
        <v>7.5</v>
      </c>
      <c r="I3" s="109">
        <v>0</v>
      </c>
      <c r="J3" s="109">
        <v>7</v>
      </c>
      <c r="K3" s="299"/>
      <c r="L3" s="110">
        <f t="shared" ref="L3" si="0">F3*(I3+J3)</f>
        <v>210</v>
      </c>
      <c r="M3" s="300"/>
      <c r="N3" s="301"/>
      <c r="O3" s="302"/>
      <c r="P3" s="297"/>
    </row>
    <row r="4" spans="1:16" x14ac:dyDescent="0.25">
      <c r="A4" s="8" t="s">
        <v>117</v>
      </c>
      <c r="B4" s="8">
        <v>2.8</v>
      </c>
      <c r="C4" s="8">
        <f>D2*B4*4</f>
        <v>336</v>
      </c>
    </row>
    <row r="5" spans="1:16" x14ac:dyDescent="0.25">
      <c r="A5" s="8" t="s">
        <v>116</v>
      </c>
      <c r="B5" s="8">
        <v>21</v>
      </c>
      <c r="C5" s="8">
        <f>D2*B5*0.8</f>
        <v>504</v>
      </c>
    </row>
    <row r="6" spans="1:16" x14ac:dyDescent="0.25">
      <c r="A6" s="8" t="s">
        <v>118</v>
      </c>
      <c r="B6" s="8">
        <v>14</v>
      </c>
      <c r="C6" s="8">
        <f>D2*B6</f>
        <v>420</v>
      </c>
    </row>
  </sheetData>
  <mergeCells count="7">
    <mergeCell ref="P2:P3"/>
    <mergeCell ref="A2:A3"/>
    <mergeCell ref="G2:G3"/>
    <mergeCell ref="K2:K3"/>
    <mergeCell ref="M2:M3"/>
    <mergeCell ref="N2:N3"/>
    <mergeCell ref="O2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V223"/>
  <sheetViews>
    <sheetView topLeftCell="A199" zoomScale="80" zoomScaleNormal="80" workbookViewId="0">
      <selection activeCell="B208" sqref="B208:U211"/>
    </sheetView>
  </sheetViews>
  <sheetFormatPr defaultRowHeight="15" x14ac:dyDescent="0.25"/>
  <cols>
    <col min="1" max="1" width="14.85546875" customWidth="1"/>
    <col min="2" max="2" width="14.140625" customWidth="1"/>
    <col min="13" max="13" width="14.28515625" customWidth="1"/>
    <col min="16" max="16" width="12" customWidth="1"/>
    <col min="20" max="20" width="13" customWidth="1"/>
  </cols>
  <sheetData>
    <row r="1" spans="1:21" ht="75" x14ac:dyDescent="0.25">
      <c r="A1" s="316" t="s">
        <v>46</v>
      </c>
      <c r="B1" s="81"/>
      <c r="C1" s="82" t="s">
        <v>20</v>
      </c>
      <c r="D1" s="83" t="s">
        <v>2</v>
      </c>
      <c r="E1" s="84" t="s">
        <v>3</v>
      </c>
      <c r="F1" s="83" t="s">
        <v>4</v>
      </c>
      <c r="G1" s="83" t="s">
        <v>21</v>
      </c>
      <c r="H1" s="83" t="s">
        <v>22</v>
      </c>
      <c r="I1" s="85" t="s">
        <v>5</v>
      </c>
      <c r="J1" s="83" t="s">
        <v>6</v>
      </c>
      <c r="K1" s="83" t="s">
        <v>7</v>
      </c>
      <c r="L1" s="83" t="s">
        <v>8</v>
      </c>
      <c r="M1" s="83" t="s">
        <v>9</v>
      </c>
      <c r="N1" s="83" t="s">
        <v>36</v>
      </c>
      <c r="O1" s="83" t="s">
        <v>39</v>
      </c>
      <c r="P1" s="83" t="s">
        <v>40</v>
      </c>
      <c r="Q1" s="83" t="s">
        <v>15</v>
      </c>
      <c r="R1" s="86" t="s">
        <v>24</v>
      </c>
      <c r="S1" s="83" t="s">
        <v>25</v>
      </c>
      <c r="T1" s="83" t="s">
        <v>18</v>
      </c>
      <c r="U1" s="87" t="s">
        <v>26</v>
      </c>
    </row>
    <row r="2" spans="1:21" x14ac:dyDescent="0.25">
      <c r="A2" s="317"/>
      <c r="B2" s="80" t="s">
        <v>27</v>
      </c>
      <c r="C2" s="34">
        <v>50</v>
      </c>
      <c r="D2" s="35">
        <v>1</v>
      </c>
      <c r="E2" s="36">
        <f>C2/D2</f>
        <v>50</v>
      </c>
      <c r="F2" s="37">
        <v>2</v>
      </c>
      <c r="G2" s="37">
        <v>23</v>
      </c>
      <c r="H2" s="37">
        <f>(E2+F2)*G2</f>
        <v>1196</v>
      </c>
      <c r="I2" s="11">
        <f>H2/4</f>
        <v>299</v>
      </c>
      <c r="J2" s="72">
        <v>80</v>
      </c>
      <c r="K2" s="13">
        <f>0.64*0.9*J2/1000</f>
        <v>4.6080000000000003E-2</v>
      </c>
      <c r="L2" s="38">
        <v>2.2000000000000002</v>
      </c>
      <c r="M2" s="39">
        <f>H2*L2</f>
        <v>2631.2000000000003</v>
      </c>
      <c r="N2" s="41">
        <f>M2*0.15</f>
        <v>394.68</v>
      </c>
      <c r="O2" s="79">
        <v>12</v>
      </c>
      <c r="P2" s="42">
        <f>(L2+O2)*H2+N2</f>
        <v>17377.88</v>
      </c>
      <c r="Q2" s="75">
        <f>I2*K2*3.5</f>
        <v>48.22272000000001</v>
      </c>
      <c r="R2" s="319">
        <f>C2*60+H4*6</f>
        <v>3330</v>
      </c>
      <c r="S2" s="320">
        <v>0.3</v>
      </c>
      <c r="T2" s="321">
        <f>(P2+P4+P3+R2)+((P2+P4+P3+R2)*S2)+(Q2+Q3+Q4)</f>
        <v>31644.128736000006</v>
      </c>
      <c r="U2" s="322">
        <f>T2/C4</f>
        <v>632.88257472000009</v>
      </c>
    </row>
    <row r="3" spans="1:21" x14ac:dyDescent="0.25">
      <c r="A3" s="317"/>
      <c r="B3" s="80" t="s">
        <v>28</v>
      </c>
      <c r="C3" s="34">
        <v>50</v>
      </c>
      <c r="D3" s="35">
        <v>1</v>
      </c>
      <c r="E3" s="36">
        <f>C3/D3</f>
        <v>50</v>
      </c>
      <c r="F3" s="37">
        <v>2</v>
      </c>
      <c r="G3" s="37">
        <v>1</v>
      </c>
      <c r="H3" s="37">
        <f>(E3+F3)*G3</f>
        <v>52</v>
      </c>
      <c r="I3" s="11">
        <f>H3/4</f>
        <v>13</v>
      </c>
      <c r="J3" s="72">
        <v>120</v>
      </c>
      <c r="K3" s="13">
        <f>0.64*0.9*J3/1000</f>
        <v>6.9120000000000001E-2</v>
      </c>
      <c r="L3" s="38">
        <v>2.88</v>
      </c>
      <c r="M3" s="39">
        <f>H3*L3</f>
        <v>149.76</v>
      </c>
      <c r="N3" s="41">
        <f>M3*0.15</f>
        <v>22.463999999999999</v>
      </c>
      <c r="O3" s="79">
        <v>0</v>
      </c>
      <c r="P3" s="42">
        <f>(L3+O3)*(H3+N3)</f>
        <v>214.45631999999998</v>
      </c>
      <c r="Q3" s="75">
        <f>I3*K3*3.5</f>
        <v>3.1449600000000002</v>
      </c>
      <c r="R3" s="319"/>
      <c r="S3" s="320"/>
      <c r="T3" s="321"/>
      <c r="U3" s="322"/>
    </row>
    <row r="4" spans="1:21" ht="24" customHeight="1" thickBot="1" x14ac:dyDescent="0.3">
      <c r="A4" s="318"/>
      <c r="B4" s="88" t="s">
        <v>29</v>
      </c>
      <c r="C4" s="89">
        <v>50</v>
      </c>
      <c r="D4" s="43">
        <v>1</v>
      </c>
      <c r="E4" s="44">
        <f>C4/D4</f>
        <v>50</v>
      </c>
      <c r="F4" s="45">
        <v>5</v>
      </c>
      <c r="G4" s="45">
        <v>1</v>
      </c>
      <c r="H4" s="45">
        <f>(E4+F4)*G4</f>
        <v>55</v>
      </c>
      <c r="I4" s="90">
        <f>H4/4</f>
        <v>13.75</v>
      </c>
      <c r="J4" s="73">
        <v>120</v>
      </c>
      <c r="K4" s="58">
        <f>0.64*0.9*J4/1000</f>
        <v>6.9120000000000001E-2</v>
      </c>
      <c r="L4" s="46">
        <v>2.88</v>
      </c>
      <c r="M4" s="47">
        <f>H4*L4</f>
        <v>158.4</v>
      </c>
      <c r="N4" s="49">
        <f>M4*0.15</f>
        <v>23.76</v>
      </c>
      <c r="O4" s="91">
        <v>40</v>
      </c>
      <c r="P4" s="50">
        <f>(L4+O4)*(H4+N4)</f>
        <v>3377.2288000000003</v>
      </c>
      <c r="Q4" s="76">
        <f>I4*K4*3.5</f>
        <v>3.3264</v>
      </c>
      <c r="R4" s="289"/>
      <c r="S4" s="291"/>
      <c r="T4" s="281"/>
      <c r="U4" s="283"/>
    </row>
    <row r="5" spans="1:21" x14ac:dyDescent="0.25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5.75" thickBot="1" x14ac:dyDescent="0.3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5.75" thickBot="1" x14ac:dyDescent="0.3">
      <c r="B7" s="326" t="s">
        <v>32</v>
      </c>
      <c r="C7" s="327"/>
      <c r="D7" s="327"/>
      <c r="E7" s="327"/>
      <c r="F7" s="327"/>
      <c r="G7" s="327"/>
      <c r="H7" s="327"/>
      <c r="I7" s="327"/>
      <c r="J7" s="327"/>
      <c r="K7" s="327"/>
      <c r="L7" s="327"/>
      <c r="M7" s="328"/>
      <c r="N7" s="59"/>
      <c r="O7" s="24"/>
      <c r="P7" s="24"/>
      <c r="Q7" s="24"/>
      <c r="R7" s="24"/>
      <c r="S7" s="24"/>
      <c r="T7" s="24"/>
      <c r="U7" s="24"/>
    </row>
    <row r="8" spans="1:21" ht="15.75" thickBot="1" x14ac:dyDescent="0.3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24"/>
      <c r="P8" s="24"/>
      <c r="Q8" s="24"/>
      <c r="R8" s="24"/>
      <c r="S8" s="24"/>
      <c r="T8" s="24"/>
      <c r="U8" s="24"/>
    </row>
    <row r="9" spans="1:21" x14ac:dyDescent="0.25">
      <c r="B9" s="329" t="s">
        <v>31</v>
      </c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1"/>
      <c r="N9" s="59"/>
      <c r="O9" s="24"/>
      <c r="P9" s="24"/>
      <c r="Q9" s="24"/>
      <c r="R9" s="24"/>
      <c r="S9" s="24"/>
      <c r="T9" s="24"/>
      <c r="U9" s="24"/>
    </row>
    <row r="10" spans="1:21" x14ac:dyDescent="0.25">
      <c r="B10" s="332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4"/>
      <c r="N10" s="59"/>
      <c r="O10" s="24"/>
      <c r="P10" s="24"/>
      <c r="Q10" s="24"/>
      <c r="R10" s="24"/>
      <c r="S10" s="24"/>
      <c r="T10" s="24"/>
      <c r="U10" s="24"/>
    </row>
    <row r="11" spans="1:21" ht="15.75" thickBot="1" x14ac:dyDescent="0.3">
      <c r="B11" s="335"/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7"/>
      <c r="N11" s="59"/>
      <c r="O11" s="24"/>
      <c r="P11" s="24"/>
      <c r="Q11" s="24"/>
      <c r="R11" s="24"/>
      <c r="S11" s="24"/>
      <c r="T11" s="24"/>
      <c r="U11" s="24"/>
    </row>
    <row r="12" spans="1:21" ht="15.75" thickBot="1" x14ac:dyDescent="0.3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24"/>
      <c r="P12" s="24"/>
      <c r="Q12" s="24"/>
      <c r="R12" s="24"/>
      <c r="S12" s="24"/>
      <c r="T12" s="24"/>
      <c r="U12" s="24"/>
    </row>
    <row r="13" spans="1:21" x14ac:dyDescent="0.25">
      <c r="B13" s="338" t="s">
        <v>33</v>
      </c>
      <c r="C13" s="339"/>
      <c r="D13" s="339"/>
      <c r="E13" s="339"/>
      <c r="F13" s="339"/>
      <c r="G13" s="339"/>
      <c r="H13" s="339"/>
      <c r="I13" s="339"/>
      <c r="J13" s="339"/>
      <c r="K13" s="339"/>
      <c r="L13" s="339"/>
      <c r="M13" s="340"/>
      <c r="N13" s="59"/>
      <c r="O13" s="24"/>
      <c r="P13" s="24"/>
      <c r="Q13" s="24"/>
      <c r="R13" s="24"/>
      <c r="S13" s="24"/>
      <c r="T13" s="24"/>
      <c r="U13" s="24"/>
    </row>
    <row r="14" spans="1:21" ht="15.75" thickBot="1" x14ac:dyDescent="0.3">
      <c r="B14" s="341"/>
      <c r="C14" s="342"/>
      <c r="D14" s="342"/>
      <c r="E14" s="342"/>
      <c r="F14" s="342"/>
      <c r="G14" s="342"/>
      <c r="H14" s="342"/>
      <c r="I14" s="342"/>
      <c r="J14" s="342"/>
      <c r="K14" s="342"/>
      <c r="L14" s="342"/>
      <c r="M14" s="343"/>
      <c r="N14" s="59"/>
      <c r="O14" s="24"/>
      <c r="P14" s="24"/>
      <c r="Q14" s="24"/>
      <c r="R14" s="24"/>
      <c r="S14" s="24"/>
      <c r="T14" s="24"/>
      <c r="U14" s="24"/>
    </row>
    <row r="15" spans="1:21" ht="15.75" thickBot="1" x14ac:dyDescent="0.3"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24"/>
      <c r="P15" s="24"/>
      <c r="Q15" s="24"/>
      <c r="R15" s="24"/>
      <c r="S15" s="24"/>
      <c r="T15" s="24"/>
      <c r="U15" s="24"/>
    </row>
    <row r="16" spans="1:21" ht="15.75" thickBot="1" x14ac:dyDescent="0.3">
      <c r="B16" s="344" t="s">
        <v>34</v>
      </c>
      <c r="C16" s="345"/>
      <c r="D16" s="345"/>
      <c r="E16" s="345"/>
      <c r="F16" s="345"/>
      <c r="G16" s="345"/>
      <c r="H16" s="345"/>
      <c r="I16" s="345"/>
      <c r="J16" s="345"/>
      <c r="K16" s="345"/>
      <c r="L16" s="345"/>
      <c r="M16" s="345"/>
      <c r="N16" s="24"/>
      <c r="O16" s="24"/>
      <c r="P16" s="24"/>
      <c r="Q16" s="24"/>
      <c r="R16" s="24"/>
      <c r="S16" s="24"/>
      <c r="T16" s="24"/>
      <c r="U16" s="24"/>
    </row>
    <row r="17" spans="1:21" ht="15.75" thickBot="1" x14ac:dyDescent="0.3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5.75" thickBot="1" x14ac:dyDescent="0.3">
      <c r="B18" s="346" t="s">
        <v>38</v>
      </c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24"/>
      <c r="O18" s="24"/>
      <c r="P18" s="24"/>
      <c r="Q18" s="24"/>
      <c r="R18" s="24"/>
      <c r="S18" s="24"/>
      <c r="T18" s="24"/>
      <c r="U18" s="24"/>
    </row>
    <row r="19" spans="1:21" ht="15.75" thickBot="1" x14ac:dyDescent="0.3"/>
    <row r="20" spans="1:21" ht="75" x14ac:dyDescent="0.25">
      <c r="A20" s="316" t="s">
        <v>79</v>
      </c>
      <c r="B20" s="81"/>
      <c r="C20" s="82" t="s">
        <v>20</v>
      </c>
      <c r="D20" s="83" t="s">
        <v>2</v>
      </c>
      <c r="E20" s="84" t="s">
        <v>3</v>
      </c>
      <c r="F20" s="83" t="s">
        <v>4</v>
      </c>
      <c r="G20" s="83" t="s">
        <v>21</v>
      </c>
      <c r="H20" s="83" t="s">
        <v>22</v>
      </c>
      <c r="I20" s="85" t="s">
        <v>5</v>
      </c>
      <c r="J20" s="83" t="s">
        <v>6</v>
      </c>
      <c r="K20" s="83" t="s">
        <v>7</v>
      </c>
      <c r="L20" s="83" t="s">
        <v>8</v>
      </c>
      <c r="M20" s="83" t="s">
        <v>9</v>
      </c>
      <c r="N20" s="83" t="s">
        <v>36</v>
      </c>
      <c r="O20" s="83" t="s">
        <v>39</v>
      </c>
      <c r="P20" s="83" t="s">
        <v>40</v>
      </c>
      <c r="Q20" s="83" t="s">
        <v>15</v>
      </c>
      <c r="R20" s="86" t="s">
        <v>24</v>
      </c>
      <c r="S20" s="83" t="s">
        <v>25</v>
      </c>
      <c r="T20" s="83" t="s">
        <v>18</v>
      </c>
      <c r="U20" s="87" t="s">
        <v>26</v>
      </c>
    </row>
    <row r="21" spans="1:21" x14ac:dyDescent="0.25">
      <c r="A21" s="317"/>
      <c r="B21" s="80" t="s">
        <v>27</v>
      </c>
      <c r="C21" s="34">
        <v>1</v>
      </c>
      <c r="D21" s="35">
        <v>1</v>
      </c>
      <c r="E21" s="36">
        <f>C21/D21</f>
        <v>1</v>
      </c>
      <c r="F21" s="37">
        <v>0</v>
      </c>
      <c r="G21" s="37">
        <v>36</v>
      </c>
      <c r="H21" s="37">
        <f>(E21+F21)*G21</f>
        <v>36</v>
      </c>
      <c r="I21" s="11">
        <f>H21/4</f>
        <v>9</v>
      </c>
      <c r="J21" s="72">
        <v>120</v>
      </c>
      <c r="K21" s="13">
        <f>0.64*0.9*J21/1000</f>
        <v>6.9120000000000001E-2</v>
      </c>
      <c r="L21" s="38">
        <v>3</v>
      </c>
      <c r="M21" s="39">
        <f>H21*L21</f>
        <v>108</v>
      </c>
      <c r="N21" s="41">
        <f>M21*0.15</f>
        <v>16.2</v>
      </c>
      <c r="O21" s="79">
        <v>70</v>
      </c>
      <c r="P21" s="42">
        <f>(L21+O21)*H21+N21</f>
        <v>2644.2</v>
      </c>
      <c r="Q21" s="75">
        <f>I21*K21*7</f>
        <v>4.3545599999999993</v>
      </c>
      <c r="R21" s="319">
        <f>C21*130+H23*9</f>
        <v>148</v>
      </c>
      <c r="S21" s="320">
        <v>0.3</v>
      </c>
      <c r="T21" s="321">
        <f>(P21+P23+P22+R21)+((P21+P23+P22+R21)*S21)+(Q21+Q22+Q23)+1500</f>
        <v>5283.49244</v>
      </c>
      <c r="U21" s="322">
        <f>T21/C23</f>
        <v>5283.49244</v>
      </c>
    </row>
    <row r="22" spans="1:21" x14ac:dyDescent="0.25">
      <c r="A22" s="317"/>
      <c r="B22" s="80" t="s">
        <v>28</v>
      </c>
      <c r="C22" s="34">
        <v>1</v>
      </c>
      <c r="D22" s="35">
        <v>1</v>
      </c>
      <c r="E22" s="36">
        <f>C22/D22</f>
        <v>1</v>
      </c>
      <c r="F22" s="37">
        <v>0</v>
      </c>
      <c r="G22" s="37">
        <v>1</v>
      </c>
      <c r="H22" s="37">
        <f>(E22+F22)*G22</f>
        <v>1</v>
      </c>
      <c r="I22" s="11">
        <f>H22/4</f>
        <v>0.25</v>
      </c>
      <c r="J22" s="72">
        <v>120</v>
      </c>
      <c r="K22" s="13">
        <f>0.64*0.9*J22/1000</f>
        <v>6.9120000000000001E-2</v>
      </c>
      <c r="L22" s="38">
        <v>3</v>
      </c>
      <c r="M22" s="39">
        <f>H22*L22</f>
        <v>3</v>
      </c>
      <c r="N22" s="41">
        <f>M22*0.15</f>
        <v>0.44999999999999996</v>
      </c>
      <c r="O22" s="79">
        <v>0</v>
      </c>
      <c r="P22" s="42">
        <f>(L22+O22)*(H22+N22)</f>
        <v>4.3499999999999996</v>
      </c>
      <c r="Q22" s="75">
        <f>I22*K22*7</f>
        <v>0.12096</v>
      </c>
      <c r="R22" s="319"/>
      <c r="S22" s="320"/>
      <c r="T22" s="321"/>
      <c r="U22" s="322"/>
    </row>
    <row r="23" spans="1:21" ht="15.75" thickBot="1" x14ac:dyDescent="0.3">
      <c r="A23" s="318"/>
      <c r="B23" s="88" t="s">
        <v>29</v>
      </c>
      <c r="C23" s="89">
        <v>1</v>
      </c>
      <c r="D23" s="43">
        <v>1</v>
      </c>
      <c r="E23" s="44">
        <f>C23/D23</f>
        <v>1</v>
      </c>
      <c r="F23" s="45">
        <v>1</v>
      </c>
      <c r="G23" s="45">
        <v>1</v>
      </c>
      <c r="H23" s="45">
        <f>(E23+F23)*G23</f>
        <v>2</v>
      </c>
      <c r="I23" s="90">
        <f>H23/4</f>
        <v>0.5</v>
      </c>
      <c r="J23" s="73">
        <v>120</v>
      </c>
      <c r="K23" s="58">
        <f>0.64*0.9*J23/1000</f>
        <v>6.9120000000000001E-2</v>
      </c>
      <c r="L23" s="46">
        <v>3</v>
      </c>
      <c r="M23" s="47">
        <f>H23*L23</f>
        <v>6</v>
      </c>
      <c r="N23" s="49">
        <f>M23*0.15</f>
        <v>0.89999999999999991</v>
      </c>
      <c r="O23" s="91">
        <v>35</v>
      </c>
      <c r="P23" s="50">
        <f>(L23+O23)*(H23+N23)</f>
        <v>110.2</v>
      </c>
      <c r="Q23" s="76">
        <f>I23*K23*7</f>
        <v>0.24192</v>
      </c>
      <c r="R23" s="289"/>
      <c r="S23" s="291"/>
      <c r="T23" s="281"/>
      <c r="U23" s="283"/>
    </row>
    <row r="24" spans="1:21" ht="75" x14ac:dyDescent="0.25">
      <c r="A24" s="323" t="s">
        <v>80</v>
      </c>
      <c r="B24" s="81"/>
      <c r="C24" s="82" t="s">
        <v>20</v>
      </c>
      <c r="D24" s="83" t="s">
        <v>2</v>
      </c>
      <c r="E24" s="84" t="s">
        <v>3</v>
      </c>
      <c r="F24" s="83" t="s">
        <v>4</v>
      </c>
      <c r="G24" s="83" t="s">
        <v>21</v>
      </c>
      <c r="H24" s="83" t="s">
        <v>22</v>
      </c>
      <c r="I24" s="85" t="s">
        <v>5</v>
      </c>
      <c r="J24" s="83" t="s">
        <v>6</v>
      </c>
      <c r="K24" s="83" t="s">
        <v>7</v>
      </c>
      <c r="L24" s="83" t="s">
        <v>8</v>
      </c>
      <c r="M24" s="83" t="s">
        <v>9</v>
      </c>
      <c r="N24" s="83" t="s">
        <v>36</v>
      </c>
      <c r="O24" s="83" t="s">
        <v>39</v>
      </c>
      <c r="P24" s="83" t="s">
        <v>40</v>
      </c>
      <c r="Q24" s="83" t="s">
        <v>15</v>
      </c>
      <c r="R24" s="86" t="s">
        <v>24</v>
      </c>
      <c r="S24" s="83" t="s">
        <v>25</v>
      </c>
      <c r="T24" s="83" t="s">
        <v>18</v>
      </c>
      <c r="U24" s="87" t="s">
        <v>26</v>
      </c>
    </row>
    <row r="25" spans="1:21" x14ac:dyDescent="0.25">
      <c r="A25" s="324"/>
      <c r="B25" s="80" t="s">
        <v>27</v>
      </c>
      <c r="C25" s="34">
        <v>1</v>
      </c>
      <c r="D25" s="35">
        <v>1</v>
      </c>
      <c r="E25" s="36">
        <f>C25/D25</f>
        <v>1</v>
      </c>
      <c r="F25" s="37">
        <v>0</v>
      </c>
      <c r="G25" s="37">
        <v>10</v>
      </c>
      <c r="H25" s="37">
        <f>(E25+F25)*G25</f>
        <v>10</v>
      </c>
      <c r="I25" s="11">
        <f>H25/4</f>
        <v>2.5</v>
      </c>
      <c r="J25" s="72">
        <v>130</v>
      </c>
      <c r="K25" s="13">
        <f>0.64*0.9*J25/1000</f>
        <v>7.4880000000000016E-2</v>
      </c>
      <c r="L25" s="38">
        <v>6</v>
      </c>
      <c r="M25" s="39">
        <f>H25*L25</f>
        <v>60</v>
      </c>
      <c r="N25" s="41">
        <f>M25*0.15</f>
        <v>9</v>
      </c>
      <c r="O25" s="79">
        <v>70</v>
      </c>
      <c r="P25" s="42">
        <f>(L25+O25)*H25+N25</f>
        <v>769</v>
      </c>
      <c r="Q25" s="75">
        <f>I25*K25*3.5</f>
        <v>0.65520000000000012</v>
      </c>
      <c r="R25" s="319">
        <f>C21*130+H23*9</f>
        <v>148</v>
      </c>
      <c r="S25" s="320">
        <v>0.3</v>
      </c>
      <c r="T25" s="321">
        <f>(P25+P27+P26+R25)+((P25+P27+P26+R25)*S25)+(Q25+Q26+Q27)</f>
        <v>1347.5671200000002</v>
      </c>
      <c r="U25" s="322">
        <f>T25/C27</f>
        <v>1347.5671200000002</v>
      </c>
    </row>
    <row r="26" spans="1:21" x14ac:dyDescent="0.25">
      <c r="A26" s="324"/>
      <c r="B26" s="80" t="s">
        <v>28</v>
      </c>
      <c r="C26" s="34">
        <v>1</v>
      </c>
      <c r="D26" s="35">
        <v>1</v>
      </c>
      <c r="E26" s="36">
        <f>C26/D26</f>
        <v>1</v>
      </c>
      <c r="F26" s="37">
        <v>1</v>
      </c>
      <c r="G26" s="37">
        <v>1</v>
      </c>
      <c r="H26" s="37">
        <f>(E26+F26)*G26</f>
        <v>2</v>
      </c>
      <c r="I26" s="11">
        <f>H26/4</f>
        <v>0.5</v>
      </c>
      <c r="J26" s="72">
        <v>120</v>
      </c>
      <c r="K26" s="13">
        <f>0.64*0.9*J26/1000</f>
        <v>6.9120000000000001E-2</v>
      </c>
      <c r="L26" s="38">
        <v>3</v>
      </c>
      <c r="M26" s="39">
        <f>H26*L26</f>
        <v>6</v>
      </c>
      <c r="N26" s="41">
        <f>M26*0.15</f>
        <v>0.89999999999999991</v>
      </c>
      <c r="O26" s="79">
        <v>0</v>
      </c>
      <c r="P26" s="42">
        <f>(L26+O26)*(H26+N26)</f>
        <v>8.6999999999999993</v>
      </c>
      <c r="Q26" s="75">
        <f>I26*K26*3.5</f>
        <v>0.12096</v>
      </c>
      <c r="R26" s="319"/>
      <c r="S26" s="320"/>
      <c r="T26" s="321"/>
      <c r="U26" s="322"/>
    </row>
    <row r="27" spans="1:21" ht="15.75" thickBot="1" x14ac:dyDescent="0.3">
      <c r="A27" s="325"/>
      <c r="B27" s="88" t="s">
        <v>29</v>
      </c>
      <c r="C27" s="89">
        <v>1</v>
      </c>
      <c r="D27" s="43">
        <v>1</v>
      </c>
      <c r="E27" s="44">
        <f>C27/D27</f>
        <v>1</v>
      </c>
      <c r="F27" s="45">
        <v>1</v>
      </c>
      <c r="G27" s="45">
        <v>1</v>
      </c>
      <c r="H27" s="45">
        <f>(E27+F27)*G27</f>
        <v>2</v>
      </c>
      <c r="I27" s="90">
        <f>H27/4</f>
        <v>0.5</v>
      </c>
      <c r="J27" s="73">
        <v>120</v>
      </c>
      <c r="K27" s="58">
        <f>0.64*0.9*J27/1000</f>
        <v>6.9120000000000001E-2</v>
      </c>
      <c r="L27" s="46">
        <v>3</v>
      </c>
      <c r="M27" s="47">
        <f>H27*L27</f>
        <v>6</v>
      </c>
      <c r="N27" s="49">
        <f>M27*0.15</f>
        <v>0.89999999999999991</v>
      </c>
      <c r="O27" s="91">
        <v>35</v>
      </c>
      <c r="P27" s="50">
        <f>(L27+O27)*(H27+N27)</f>
        <v>110.2</v>
      </c>
      <c r="Q27" s="76">
        <f>I27*K27*3.5</f>
        <v>0.12096</v>
      </c>
      <c r="R27" s="289"/>
      <c r="S27" s="291"/>
      <c r="T27" s="281"/>
      <c r="U27" s="283"/>
    </row>
    <row r="28" spans="1:21" ht="75" x14ac:dyDescent="0.25">
      <c r="A28" s="323" t="s">
        <v>81</v>
      </c>
      <c r="B28" s="81"/>
      <c r="C28" s="82" t="s">
        <v>20</v>
      </c>
      <c r="D28" s="83" t="s">
        <v>2</v>
      </c>
      <c r="E28" s="84" t="s">
        <v>3</v>
      </c>
      <c r="F28" s="83" t="s">
        <v>4</v>
      </c>
      <c r="G28" s="83" t="s">
        <v>21</v>
      </c>
      <c r="H28" s="83" t="s">
        <v>22</v>
      </c>
      <c r="I28" s="85" t="s">
        <v>5</v>
      </c>
      <c r="J28" s="83" t="s">
        <v>6</v>
      </c>
      <c r="K28" s="83" t="s">
        <v>7</v>
      </c>
      <c r="L28" s="83" t="s">
        <v>8</v>
      </c>
      <c r="M28" s="83" t="s">
        <v>9</v>
      </c>
      <c r="N28" s="83" t="s">
        <v>36</v>
      </c>
      <c r="O28" s="83" t="s">
        <v>39</v>
      </c>
      <c r="P28" s="83" t="s">
        <v>40</v>
      </c>
      <c r="Q28" s="83" t="s">
        <v>15</v>
      </c>
      <c r="R28" s="86" t="s">
        <v>24</v>
      </c>
      <c r="S28" s="83" t="s">
        <v>25</v>
      </c>
      <c r="T28" s="83" t="s">
        <v>18</v>
      </c>
      <c r="U28" s="87" t="s">
        <v>26</v>
      </c>
    </row>
    <row r="29" spans="1:21" x14ac:dyDescent="0.25">
      <c r="A29" s="324"/>
      <c r="B29" s="80" t="s">
        <v>27</v>
      </c>
      <c r="C29" s="34">
        <v>1</v>
      </c>
      <c r="D29" s="35">
        <v>1</v>
      </c>
      <c r="E29" s="36">
        <f>C29/D29</f>
        <v>1</v>
      </c>
      <c r="F29" s="37">
        <v>0</v>
      </c>
      <c r="G29" s="37">
        <v>34</v>
      </c>
      <c r="H29" s="37">
        <f>(E29+F29)*G29</f>
        <v>34</v>
      </c>
      <c r="I29" s="11">
        <f>H29/4</f>
        <v>8.5</v>
      </c>
      <c r="J29" s="72">
        <v>80</v>
      </c>
      <c r="K29" s="13">
        <f>0.64*0.9*J29/1000</f>
        <v>4.6080000000000003E-2</v>
      </c>
      <c r="L29" s="38">
        <v>3</v>
      </c>
      <c r="M29" s="39">
        <f>H29*L29</f>
        <v>102</v>
      </c>
      <c r="N29" s="41">
        <f>M29*0.15</f>
        <v>15.299999999999999</v>
      </c>
      <c r="O29" s="79">
        <v>6</v>
      </c>
      <c r="P29" s="42">
        <f>(L29+O29)*H29+N29</f>
        <v>321.3</v>
      </c>
      <c r="Q29" s="75">
        <f>I29*K29*3.5</f>
        <v>1.3708800000000001</v>
      </c>
      <c r="R29" s="306"/>
      <c r="S29" s="307">
        <v>0.3</v>
      </c>
      <c r="T29" s="308">
        <f>(P29+P31+P30+R29)+((P29+P31+P30+R29)*S29)+(Q29+Q30+Q31)</f>
        <v>478.37876000000006</v>
      </c>
      <c r="U29" s="309">
        <f>T29/C31</f>
        <v>478.37876000000006</v>
      </c>
    </row>
    <row r="30" spans="1:21" x14ac:dyDescent="0.25">
      <c r="A30" s="324"/>
      <c r="B30" s="80" t="s">
        <v>28</v>
      </c>
      <c r="C30" s="34">
        <v>0</v>
      </c>
      <c r="D30" s="35">
        <v>1</v>
      </c>
      <c r="E30" s="36">
        <f>C30/D30</f>
        <v>0</v>
      </c>
      <c r="F30" s="37">
        <v>1</v>
      </c>
      <c r="G30" s="37">
        <v>1</v>
      </c>
      <c r="H30" s="37">
        <f>(E30+F30)*G30</f>
        <v>1</v>
      </c>
      <c r="I30" s="11">
        <f>H30/4</f>
        <v>0.25</v>
      </c>
      <c r="J30" s="72">
        <v>120</v>
      </c>
      <c r="K30" s="13">
        <f>0.64*0.9*J30/1000</f>
        <v>6.9120000000000001E-2</v>
      </c>
      <c r="L30" s="38">
        <v>3</v>
      </c>
      <c r="M30" s="39">
        <f>H30*L30</f>
        <v>3</v>
      </c>
      <c r="N30" s="41">
        <f>M30*0.15</f>
        <v>0.44999999999999996</v>
      </c>
      <c r="O30" s="79">
        <v>0</v>
      </c>
      <c r="P30" s="42">
        <f>(L30+O30)*(H30+N30)</f>
        <v>4.3499999999999996</v>
      </c>
      <c r="Q30" s="75">
        <f>I30*K30*3.5</f>
        <v>6.0479999999999999E-2</v>
      </c>
      <c r="R30" s="275"/>
      <c r="S30" s="278"/>
      <c r="T30" s="262"/>
      <c r="U30" s="265"/>
    </row>
    <row r="31" spans="1:21" ht="15.75" thickBot="1" x14ac:dyDescent="0.3">
      <c r="A31" s="325"/>
      <c r="B31" s="88" t="s">
        <v>29</v>
      </c>
      <c r="C31" s="89">
        <v>1</v>
      </c>
      <c r="D31" s="43">
        <v>1</v>
      </c>
      <c r="E31" s="44">
        <f>C31/D31</f>
        <v>1</v>
      </c>
      <c r="F31" s="45">
        <v>1</v>
      </c>
      <c r="G31" s="45">
        <v>1</v>
      </c>
      <c r="H31" s="45">
        <f>(E31+F31)*G31</f>
        <v>2</v>
      </c>
      <c r="I31" s="90">
        <f>H31/4</f>
        <v>0.5</v>
      </c>
      <c r="J31" s="73">
        <v>300</v>
      </c>
      <c r="K31" s="58">
        <f>0.64*0.9*J31/1000</f>
        <v>0.17280000000000001</v>
      </c>
      <c r="L31" s="46">
        <v>7</v>
      </c>
      <c r="M31" s="47">
        <f>H31*L31</f>
        <v>14</v>
      </c>
      <c r="N31" s="49">
        <f>M31*0.15</f>
        <v>2.1</v>
      </c>
      <c r="O31" s="91">
        <v>3</v>
      </c>
      <c r="P31" s="50">
        <f>(L31+O31)*(H31+N31)</f>
        <v>41</v>
      </c>
      <c r="Q31" s="76">
        <f>I31*K31*3.5</f>
        <v>0.3024</v>
      </c>
      <c r="R31" s="294"/>
      <c r="S31" s="295"/>
      <c r="T31" s="292"/>
      <c r="U31" s="293"/>
    </row>
    <row r="32" spans="1:21" ht="75" x14ac:dyDescent="0.25">
      <c r="A32" s="323" t="s">
        <v>82</v>
      </c>
      <c r="B32" s="81"/>
      <c r="C32" s="82" t="s">
        <v>20</v>
      </c>
      <c r="D32" s="83" t="s">
        <v>2</v>
      </c>
      <c r="E32" s="84" t="s">
        <v>3</v>
      </c>
      <c r="F32" s="83" t="s">
        <v>4</v>
      </c>
      <c r="G32" s="83" t="s">
        <v>21</v>
      </c>
      <c r="H32" s="83" t="s">
        <v>22</v>
      </c>
      <c r="I32" s="85" t="s">
        <v>5</v>
      </c>
      <c r="J32" s="83" t="s">
        <v>6</v>
      </c>
      <c r="K32" s="83" t="s">
        <v>7</v>
      </c>
      <c r="L32" s="83" t="s">
        <v>8</v>
      </c>
      <c r="M32" s="83" t="s">
        <v>9</v>
      </c>
      <c r="N32" s="83" t="s">
        <v>36</v>
      </c>
      <c r="O32" s="83" t="s">
        <v>39</v>
      </c>
      <c r="P32" s="83" t="s">
        <v>40</v>
      </c>
      <c r="Q32" s="83" t="s">
        <v>15</v>
      </c>
      <c r="R32" s="86" t="s">
        <v>24</v>
      </c>
      <c r="S32" s="83" t="s">
        <v>25</v>
      </c>
      <c r="T32" s="83" t="s">
        <v>18</v>
      </c>
      <c r="U32" s="87" t="s">
        <v>26</v>
      </c>
    </row>
    <row r="33" spans="1:22" x14ac:dyDescent="0.25">
      <c r="A33" s="324"/>
      <c r="B33" s="80" t="s">
        <v>27</v>
      </c>
      <c r="C33" s="34">
        <v>100</v>
      </c>
      <c r="D33" s="35">
        <v>1</v>
      </c>
      <c r="E33" s="36">
        <f>C33/D33</f>
        <v>100</v>
      </c>
      <c r="F33" s="37">
        <v>0</v>
      </c>
      <c r="G33" s="37">
        <v>7</v>
      </c>
      <c r="H33" s="37">
        <f>(E33+F33)*G33</f>
        <v>700</v>
      </c>
      <c r="I33" s="11">
        <f>H33/4</f>
        <v>175</v>
      </c>
      <c r="J33" s="72">
        <v>80</v>
      </c>
      <c r="K33" s="13">
        <f>0.64*0.9*J33/1000</f>
        <v>4.6080000000000003E-2</v>
      </c>
      <c r="L33" s="38">
        <v>3</v>
      </c>
      <c r="M33" s="39">
        <f>H33*L33</f>
        <v>2100</v>
      </c>
      <c r="N33" s="41">
        <f>M33*0.15</f>
        <v>315</v>
      </c>
      <c r="O33" s="79">
        <v>12</v>
      </c>
      <c r="P33" s="42">
        <f>(L33+O33)*H33+N33</f>
        <v>10815</v>
      </c>
      <c r="Q33" s="75">
        <f>I33*K33*3.5</f>
        <v>28.224</v>
      </c>
      <c r="R33" s="306"/>
      <c r="S33" s="307">
        <v>0.3</v>
      </c>
      <c r="T33" s="308">
        <f>(P33+P35+P34+R33)+((P33+P35+P34+R33)*S33)+(Q33+Q34+Q35)</f>
        <v>19225.935680000002</v>
      </c>
      <c r="U33" s="309">
        <f>T33/C35</f>
        <v>192.25935680000003</v>
      </c>
    </row>
    <row r="34" spans="1:22" x14ac:dyDescent="0.25">
      <c r="A34" s="324"/>
      <c r="B34" s="80" t="s">
        <v>28</v>
      </c>
      <c r="C34" s="34">
        <v>0</v>
      </c>
      <c r="D34" s="35">
        <v>1</v>
      </c>
      <c r="E34" s="36">
        <f>C34/D34</f>
        <v>0</v>
      </c>
      <c r="F34" s="37">
        <v>1</v>
      </c>
      <c r="G34" s="37">
        <v>1</v>
      </c>
      <c r="H34" s="37">
        <f>(E34+F34)*G34</f>
        <v>1</v>
      </c>
      <c r="I34" s="11">
        <f>H34/4</f>
        <v>0.25</v>
      </c>
      <c r="J34" s="72">
        <v>120</v>
      </c>
      <c r="K34" s="13">
        <f>0.64*0.9*J34/1000</f>
        <v>6.9120000000000001E-2</v>
      </c>
      <c r="L34" s="38">
        <v>0</v>
      </c>
      <c r="M34" s="39">
        <f>H34*L34</f>
        <v>0</v>
      </c>
      <c r="N34" s="41">
        <f>M34*0.15</f>
        <v>0</v>
      </c>
      <c r="O34" s="79">
        <v>0</v>
      </c>
      <c r="P34" s="42">
        <f>(L34+O34)*(H34+N34)</f>
        <v>0</v>
      </c>
      <c r="Q34" s="75">
        <f>I34*K34*3.5</f>
        <v>6.0479999999999999E-2</v>
      </c>
      <c r="R34" s="275"/>
      <c r="S34" s="278"/>
      <c r="T34" s="262"/>
      <c r="U34" s="265"/>
      <c r="V34">
        <v>200</v>
      </c>
    </row>
    <row r="35" spans="1:22" ht="15.75" thickBot="1" x14ac:dyDescent="0.3">
      <c r="A35" s="325"/>
      <c r="B35" s="88" t="s">
        <v>29</v>
      </c>
      <c r="C35" s="89">
        <v>100</v>
      </c>
      <c r="D35" s="43">
        <v>4</v>
      </c>
      <c r="E35" s="44">
        <f>C35/D35</f>
        <v>25</v>
      </c>
      <c r="F35" s="45">
        <v>1</v>
      </c>
      <c r="G35" s="45">
        <v>1</v>
      </c>
      <c r="H35" s="45">
        <f>(E35+F35)*G35</f>
        <v>26</v>
      </c>
      <c r="I35" s="90">
        <f>H35/4</f>
        <v>6.5</v>
      </c>
      <c r="J35" s="73">
        <v>300</v>
      </c>
      <c r="K35" s="58">
        <f>0.64*0.9*J35/1000</f>
        <v>0.17280000000000001</v>
      </c>
      <c r="L35" s="46">
        <v>14</v>
      </c>
      <c r="M35" s="47">
        <f>H35*L35</f>
        <v>364</v>
      </c>
      <c r="N35" s="49">
        <f>M35*0.15</f>
        <v>54.6</v>
      </c>
      <c r="O35" s="91">
        <v>35</v>
      </c>
      <c r="P35" s="50">
        <f>(L35+O35)*(H35+N35)</f>
        <v>3949.3999999999996</v>
      </c>
      <c r="Q35" s="76">
        <f>I35*K35*3.5</f>
        <v>3.9312</v>
      </c>
      <c r="R35" s="294"/>
      <c r="S35" s="295"/>
      <c r="T35" s="292"/>
      <c r="U35" s="293"/>
    </row>
    <row r="36" spans="1:22" ht="75" x14ac:dyDescent="0.25">
      <c r="A36" s="323" t="s">
        <v>83</v>
      </c>
      <c r="B36" s="81"/>
      <c r="C36" s="82" t="s">
        <v>20</v>
      </c>
      <c r="D36" s="83" t="s">
        <v>2</v>
      </c>
      <c r="E36" s="84" t="s">
        <v>3</v>
      </c>
      <c r="F36" s="83" t="s">
        <v>4</v>
      </c>
      <c r="G36" s="83" t="s">
        <v>21</v>
      </c>
      <c r="H36" s="83" t="s">
        <v>22</v>
      </c>
      <c r="I36" s="85" t="s">
        <v>5</v>
      </c>
      <c r="J36" s="83" t="s">
        <v>6</v>
      </c>
      <c r="K36" s="83" t="s">
        <v>7</v>
      </c>
      <c r="L36" s="83" t="s">
        <v>8</v>
      </c>
      <c r="M36" s="83" t="s">
        <v>9</v>
      </c>
      <c r="N36" s="83" t="s">
        <v>36</v>
      </c>
      <c r="O36" s="83" t="s">
        <v>39</v>
      </c>
      <c r="P36" s="83" t="s">
        <v>40</v>
      </c>
      <c r="Q36" s="83" t="s">
        <v>15</v>
      </c>
      <c r="R36" s="86" t="s">
        <v>24</v>
      </c>
      <c r="S36" s="83" t="s">
        <v>25</v>
      </c>
      <c r="T36" s="83" t="s">
        <v>18</v>
      </c>
      <c r="U36" s="87" t="s">
        <v>26</v>
      </c>
    </row>
    <row r="37" spans="1:22" x14ac:dyDescent="0.25">
      <c r="A37" s="324"/>
      <c r="B37" s="80" t="s">
        <v>27</v>
      </c>
      <c r="C37" s="34">
        <v>100</v>
      </c>
      <c r="D37" s="35">
        <v>1</v>
      </c>
      <c r="E37" s="36">
        <f>C37/D37</f>
        <v>100</v>
      </c>
      <c r="F37" s="37">
        <v>0</v>
      </c>
      <c r="G37" s="37">
        <v>7</v>
      </c>
      <c r="H37" s="37">
        <f>(E37+F37)*G37</f>
        <v>700</v>
      </c>
      <c r="I37" s="11">
        <f>H37/4</f>
        <v>175</v>
      </c>
      <c r="J37" s="72">
        <v>80</v>
      </c>
      <c r="K37" s="13">
        <f>0.64*0.9*J37/1000</f>
        <v>4.6080000000000003E-2</v>
      </c>
      <c r="L37" s="38">
        <v>3</v>
      </c>
      <c r="M37" s="39">
        <f>H37*L37</f>
        <v>2100</v>
      </c>
      <c r="N37" s="41">
        <f>M37*0.15</f>
        <v>315</v>
      </c>
      <c r="O37" s="79">
        <v>12</v>
      </c>
      <c r="P37" s="42">
        <f>(L37+O37)*H37+N37</f>
        <v>10815</v>
      </c>
      <c r="Q37" s="75">
        <f>I37*K37*3.5</f>
        <v>28.224</v>
      </c>
      <c r="R37" s="306">
        <f>0.23*2*C37</f>
        <v>46</v>
      </c>
      <c r="S37" s="307">
        <v>0.2</v>
      </c>
      <c r="T37" s="308">
        <f>(P37+P39+P38+R37)+((P37+P39+P38+R37)*S37)+(Q37+Q38+Q39)</f>
        <v>17804.695680000001</v>
      </c>
      <c r="U37" s="309">
        <f>T37/C39</f>
        <v>178.0469568</v>
      </c>
    </row>
    <row r="38" spans="1:22" x14ac:dyDescent="0.25">
      <c r="A38" s="324"/>
      <c r="B38" s="80" t="s">
        <v>28</v>
      </c>
      <c r="C38" s="34">
        <v>0</v>
      </c>
      <c r="D38" s="35">
        <v>1</v>
      </c>
      <c r="E38" s="36">
        <f>C38/D38</f>
        <v>0</v>
      </c>
      <c r="F38" s="37">
        <v>1</v>
      </c>
      <c r="G38" s="37">
        <v>1</v>
      </c>
      <c r="H38" s="37">
        <f>(E38+F38)*G38</f>
        <v>1</v>
      </c>
      <c r="I38" s="11">
        <f>H38/4</f>
        <v>0.25</v>
      </c>
      <c r="J38" s="72">
        <v>120</v>
      </c>
      <c r="K38" s="13">
        <f>0.64*0.9*J38/1000</f>
        <v>6.9120000000000001E-2</v>
      </c>
      <c r="L38" s="38">
        <v>0</v>
      </c>
      <c r="M38" s="39">
        <f>H38*L38</f>
        <v>0</v>
      </c>
      <c r="N38" s="41">
        <f>M38*0.15</f>
        <v>0</v>
      </c>
      <c r="O38" s="79">
        <v>0</v>
      </c>
      <c r="P38" s="42">
        <f>(L38+O38)*(H38+N38)</f>
        <v>0</v>
      </c>
      <c r="Q38" s="75">
        <f>I38*K38*3.5</f>
        <v>6.0479999999999999E-2</v>
      </c>
      <c r="R38" s="275"/>
      <c r="S38" s="278"/>
      <c r="T38" s="262"/>
      <c r="U38" s="265"/>
      <c r="V38">
        <v>180</v>
      </c>
    </row>
    <row r="39" spans="1:22" ht="15.75" thickBot="1" x14ac:dyDescent="0.3">
      <c r="A39" s="325"/>
      <c r="B39" s="88" t="s">
        <v>29</v>
      </c>
      <c r="C39" s="89">
        <v>100</v>
      </c>
      <c r="D39" s="43">
        <v>4</v>
      </c>
      <c r="E39" s="44">
        <f>C39/D39</f>
        <v>25</v>
      </c>
      <c r="F39" s="45">
        <v>1</v>
      </c>
      <c r="G39" s="45">
        <v>1</v>
      </c>
      <c r="H39" s="45">
        <f>(E39+F39)*G39</f>
        <v>26</v>
      </c>
      <c r="I39" s="90">
        <f>H39/4</f>
        <v>6.5</v>
      </c>
      <c r="J39" s="73">
        <v>300</v>
      </c>
      <c r="K39" s="58">
        <f>0.64*0.9*J39/1000</f>
        <v>0.17280000000000001</v>
      </c>
      <c r="L39" s="46">
        <v>14</v>
      </c>
      <c r="M39" s="47">
        <f>H39*L39</f>
        <v>364</v>
      </c>
      <c r="N39" s="49">
        <f>M39*0.15</f>
        <v>54.6</v>
      </c>
      <c r="O39" s="91">
        <v>35</v>
      </c>
      <c r="P39" s="50">
        <f>(L39+O39)*(H39+N39)</f>
        <v>3949.3999999999996</v>
      </c>
      <c r="Q39" s="76">
        <f>I39*K39*3.5</f>
        <v>3.9312</v>
      </c>
      <c r="R39" s="294"/>
      <c r="S39" s="295"/>
      <c r="T39" s="292"/>
      <c r="U39" s="293"/>
    </row>
    <row r="40" spans="1:22" ht="75" x14ac:dyDescent="0.25">
      <c r="A40" s="316" t="s">
        <v>84</v>
      </c>
      <c r="B40" s="81"/>
      <c r="C40" s="82" t="s">
        <v>20</v>
      </c>
      <c r="D40" s="83" t="s">
        <v>2</v>
      </c>
      <c r="E40" s="84" t="s">
        <v>3</v>
      </c>
      <c r="F40" s="83" t="s">
        <v>4</v>
      </c>
      <c r="G40" s="83" t="s">
        <v>21</v>
      </c>
      <c r="H40" s="83" t="s">
        <v>22</v>
      </c>
      <c r="I40" s="85" t="s">
        <v>5</v>
      </c>
      <c r="J40" s="83" t="s">
        <v>6</v>
      </c>
      <c r="K40" s="83" t="s">
        <v>7</v>
      </c>
      <c r="L40" s="83" t="s">
        <v>8</v>
      </c>
      <c r="M40" s="83" t="s">
        <v>9</v>
      </c>
      <c r="N40" s="83" t="s">
        <v>36</v>
      </c>
      <c r="O40" s="83" t="s">
        <v>39</v>
      </c>
      <c r="P40" s="83" t="s">
        <v>40</v>
      </c>
      <c r="Q40" s="83" t="s">
        <v>15</v>
      </c>
      <c r="R40" s="86" t="s">
        <v>24</v>
      </c>
      <c r="S40" s="83" t="s">
        <v>25</v>
      </c>
      <c r="T40" s="83" t="s">
        <v>18</v>
      </c>
      <c r="U40" s="87" t="s">
        <v>26</v>
      </c>
    </row>
    <row r="41" spans="1:22" x14ac:dyDescent="0.25">
      <c r="A41" s="317"/>
      <c r="B41" s="80" t="s">
        <v>27</v>
      </c>
      <c r="C41" s="34">
        <v>30</v>
      </c>
      <c r="D41" s="35">
        <v>1</v>
      </c>
      <c r="E41" s="36">
        <f>C41/D41</f>
        <v>30</v>
      </c>
      <c r="F41" s="37">
        <v>0</v>
      </c>
      <c r="G41" s="184">
        <v>5</v>
      </c>
      <c r="H41" s="37">
        <f>(E41+F41)*G41</f>
        <v>150</v>
      </c>
      <c r="I41" s="11">
        <f>H41/4</f>
        <v>37.5</v>
      </c>
      <c r="J41" s="72">
        <v>115</v>
      </c>
      <c r="K41" s="13">
        <f>0.64*0.9*J41/1000</f>
        <v>6.6240000000000007E-2</v>
      </c>
      <c r="L41" s="38">
        <v>5</v>
      </c>
      <c r="M41" s="39">
        <f>H41*L41</f>
        <v>750</v>
      </c>
      <c r="N41" s="41">
        <f>M41*0.15</f>
        <v>112.5</v>
      </c>
      <c r="O41" s="79">
        <v>70</v>
      </c>
      <c r="P41" s="42">
        <f>(L41+O41)*H41+N41</f>
        <v>11362.5</v>
      </c>
      <c r="Q41" s="75">
        <f>I41*K41*3.5</f>
        <v>8.6940000000000008</v>
      </c>
      <c r="R41" s="306">
        <f>0.23*2*C41</f>
        <v>13.8</v>
      </c>
      <c r="S41" s="307">
        <v>0.2</v>
      </c>
      <c r="T41" s="308">
        <f>(P41+P43+P42+R41)+((P41+P43+P42+R41)*S41)+(Q41+Q42+Q43)</f>
        <v>18662.413680000001</v>
      </c>
      <c r="U41" s="309">
        <f>T41/C43</f>
        <v>622.08045600000003</v>
      </c>
    </row>
    <row r="42" spans="1:22" x14ac:dyDescent="0.25">
      <c r="A42" s="317"/>
      <c r="B42" s="80" t="s">
        <v>28</v>
      </c>
      <c r="C42" s="34">
        <v>0</v>
      </c>
      <c r="D42" s="35">
        <v>1</v>
      </c>
      <c r="E42" s="36">
        <f>C42/D42</f>
        <v>0</v>
      </c>
      <c r="F42" s="37">
        <v>1</v>
      </c>
      <c r="G42" s="184">
        <v>1</v>
      </c>
      <c r="H42" s="37">
        <f>(E42+F42)*G42</f>
        <v>1</v>
      </c>
      <c r="I42" s="11">
        <f>H42/4</f>
        <v>0.25</v>
      </c>
      <c r="J42" s="72">
        <v>120</v>
      </c>
      <c r="K42" s="13">
        <f>0.64*0.9*J42/1000</f>
        <v>6.9120000000000001E-2</v>
      </c>
      <c r="L42" s="38">
        <v>0</v>
      </c>
      <c r="M42" s="39">
        <f>H42*L42</f>
        <v>0</v>
      </c>
      <c r="N42" s="41">
        <f>M42*0.15</f>
        <v>0</v>
      </c>
      <c r="O42" s="79">
        <v>0</v>
      </c>
      <c r="P42" s="42">
        <f>(L42+O42)*(H42+N42)</f>
        <v>0</v>
      </c>
      <c r="Q42" s="75">
        <f>I42*K42*3.5</f>
        <v>6.0479999999999999E-2</v>
      </c>
      <c r="R42" s="275"/>
      <c r="S42" s="278"/>
      <c r="T42" s="262"/>
      <c r="U42" s="265"/>
    </row>
    <row r="43" spans="1:22" ht="15.75" thickBot="1" x14ac:dyDescent="0.3">
      <c r="A43" s="318"/>
      <c r="B43" s="88" t="s">
        <v>29</v>
      </c>
      <c r="C43" s="89">
        <v>30</v>
      </c>
      <c r="D43" s="43">
        <v>2</v>
      </c>
      <c r="E43" s="44">
        <f>C43/D43</f>
        <v>15</v>
      </c>
      <c r="F43" s="45">
        <v>1</v>
      </c>
      <c r="G43" s="185">
        <v>1</v>
      </c>
      <c r="H43" s="45">
        <f>(E43+F43)*G43</f>
        <v>16</v>
      </c>
      <c r="I43" s="90">
        <f>H43/4</f>
        <v>4</v>
      </c>
      <c r="J43" s="73">
        <v>300</v>
      </c>
      <c r="K43" s="58">
        <f>0.64*0.9*J43/1000</f>
        <v>0.17280000000000001</v>
      </c>
      <c r="L43" s="46">
        <v>14</v>
      </c>
      <c r="M43" s="47">
        <f>H43*L43</f>
        <v>224</v>
      </c>
      <c r="N43" s="49">
        <f>M43*0.15</f>
        <v>33.6</v>
      </c>
      <c r="O43" s="91">
        <v>70</v>
      </c>
      <c r="P43" s="50">
        <f>(L43+O43)*(H43+N43)</f>
        <v>4166.4000000000005</v>
      </c>
      <c r="Q43" s="76">
        <f>I43*K43*3.5</f>
        <v>2.4192</v>
      </c>
      <c r="R43" s="294"/>
      <c r="S43" s="295"/>
      <c r="T43" s="292"/>
      <c r="U43" s="293"/>
    </row>
    <row r="44" spans="1:22" ht="75" x14ac:dyDescent="0.25">
      <c r="A44" s="323" t="s">
        <v>88</v>
      </c>
      <c r="B44" s="81"/>
      <c r="C44" s="82" t="s">
        <v>20</v>
      </c>
      <c r="D44" s="83" t="s">
        <v>2</v>
      </c>
      <c r="E44" s="84" t="s">
        <v>3</v>
      </c>
      <c r="F44" s="83" t="s">
        <v>4</v>
      </c>
      <c r="G44" s="83" t="s">
        <v>21</v>
      </c>
      <c r="H44" s="83" t="s">
        <v>22</v>
      </c>
      <c r="I44" s="85" t="s">
        <v>5</v>
      </c>
      <c r="J44" s="83" t="s">
        <v>6</v>
      </c>
      <c r="K44" s="83" t="s">
        <v>7</v>
      </c>
      <c r="L44" s="83" t="s">
        <v>8</v>
      </c>
      <c r="M44" s="83" t="s">
        <v>9</v>
      </c>
      <c r="N44" s="83" t="s">
        <v>36</v>
      </c>
      <c r="O44" s="83" t="s">
        <v>39</v>
      </c>
      <c r="P44" s="83" t="s">
        <v>40</v>
      </c>
      <c r="Q44" s="83" t="s">
        <v>15</v>
      </c>
      <c r="R44" s="86" t="s">
        <v>24</v>
      </c>
      <c r="S44" s="83" t="s">
        <v>25</v>
      </c>
      <c r="T44" s="83" t="s">
        <v>18</v>
      </c>
      <c r="U44" s="87" t="s">
        <v>26</v>
      </c>
    </row>
    <row r="45" spans="1:22" x14ac:dyDescent="0.25">
      <c r="A45" s="324"/>
      <c r="B45" s="80" t="s">
        <v>85</v>
      </c>
      <c r="C45" s="34">
        <v>1</v>
      </c>
      <c r="D45" s="35">
        <v>1</v>
      </c>
      <c r="E45" s="36">
        <f>C45/D45</f>
        <v>1</v>
      </c>
      <c r="F45" s="37">
        <v>0</v>
      </c>
      <c r="G45" s="37">
        <v>70</v>
      </c>
      <c r="H45" s="37">
        <f>(E45+F45)*G45</f>
        <v>70</v>
      </c>
      <c r="I45" s="11">
        <f>H45/4</f>
        <v>17.5</v>
      </c>
      <c r="J45" s="72">
        <v>115</v>
      </c>
      <c r="K45" s="13">
        <f>0.64*0.9*J45/1000</f>
        <v>6.6240000000000007E-2</v>
      </c>
      <c r="L45" s="38">
        <v>5</v>
      </c>
      <c r="M45" s="39">
        <f>H45*L45</f>
        <v>350</v>
      </c>
      <c r="N45" s="41">
        <f>M45*0.15</f>
        <v>52.5</v>
      </c>
      <c r="O45" s="79">
        <v>12</v>
      </c>
      <c r="P45" s="42">
        <f>(L45+O45)*H45+N45</f>
        <v>1242.5</v>
      </c>
      <c r="Q45" s="75">
        <f>I45*K45*3.5</f>
        <v>4.0572000000000008</v>
      </c>
      <c r="R45" s="319">
        <f>0.42*0.31*H47*500+C49*9+100</f>
        <v>304.29999999999995</v>
      </c>
      <c r="S45" s="320">
        <v>0.3</v>
      </c>
      <c r="T45" s="321">
        <f>(P45+P46+P47+P49+P48+R45)+((P45+P46+P47+P49+P48+R45)*S45)+(Q45+Q46+Q47+Q48+Q49)</f>
        <v>2667.2283200000002</v>
      </c>
      <c r="U45" s="322">
        <f>T45/C49</f>
        <v>2667.2283200000002</v>
      </c>
    </row>
    <row r="46" spans="1:22" x14ac:dyDescent="0.25">
      <c r="A46" s="324"/>
      <c r="B46" s="80" t="s">
        <v>86</v>
      </c>
      <c r="C46" s="34">
        <v>1</v>
      </c>
      <c r="D46" s="35">
        <v>1</v>
      </c>
      <c r="E46" s="36">
        <f>C46/D46</f>
        <v>1</v>
      </c>
      <c r="F46" s="37">
        <v>0</v>
      </c>
      <c r="G46" s="37">
        <v>4</v>
      </c>
      <c r="H46" s="37">
        <f>(E46+F46)*G46</f>
        <v>4</v>
      </c>
      <c r="I46" s="11">
        <f>H46/4</f>
        <v>1</v>
      </c>
      <c r="J46" s="72">
        <v>150</v>
      </c>
      <c r="K46" s="13">
        <f>0.64*0.9*J46/1000</f>
        <v>8.6400000000000005E-2</v>
      </c>
      <c r="L46" s="38">
        <v>6</v>
      </c>
      <c r="M46" s="39">
        <f>H46*L46</f>
        <v>24</v>
      </c>
      <c r="N46" s="41">
        <f>M46*0.15</f>
        <v>3.5999999999999996</v>
      </c>
      <c r="O46" s="79">
        <v>70</v>
      </c>
      <c r="P46" s="42">
        <f>(L46+O46)*H46+N46</f>
        <v>307.60000000000002</v>
      </c>
      <c r="Q46" s="75">
        <f>I46*K46*3.5</f>
        <v>0.3024</v>
      </c>
      <c r="R46" s="319"/>
      <c r="S46" s="320"/>
      <c r="T46" s="321"/>
      <c r="U46" s="322"/>
    </row>
    <row r="47" spans="1:22" ht="30" x14ac:dyDescent="0.25">
      <c r="A47" s="324"/>
      <c r="B47" s="186" t="s">
        <v>87</v>
      </c>
      <c r="C47" s="34">
        <v>1</v>
      </c>
      <c r="D47" s="35">
        <v>1</v>
      </c>
      <c r="E47" s="36">
        <f>C47/D47</f>
        <v>1</v>
      </c>
      <c r="F47" s="37">
        <v>0</v>
      </c>
      <c r="G47" s="37">
        <v>3</v>
      </c>
      <c r="H47" s="37">
        <f>(E47+F47)*G47</f>
        <v>3</v>
      </c>
      <c r="I47" s="11">
        <f>H47/4</f>
        <v>0.75</v>
      </c>
      <c r="J47" s="72">
        <v>150</v>
      </c>
      <c r="K47" s="13">
        <f>0.64*0.9*J47/1000</f>
        <v>8.6400000000000005E-2</v>
      </c>
      <c r="L47" s="38">
        <v>6</v>
      </c>
      <c r="M47" s="39">
        <f>H47*L47</f>
        <v>18</v>
      </c>
      <c r="N47" s="41">
        <f>M47*0.15</f>
        <v>2.6999999999999997</v>
      </c>
      <c r="O47" s="79">
        <v>18</v>
      </c>
      <c r="P47" s="42">
        <f>(L47+O47)*H47+N47</f>
        <v>74.7</v>
      </c>
      <c r="Q47" s="75">
        <f>I47*K47*3.5</f>
        <v>0.2268</v>
      </c>
      <c r="R47" s="319"/>
      <c r="S47" s="320"/>
      <c r="T47" s="321"/>
      <c r="U47" s="322"/>
      <c r="V47" t="s">
        <v>89</v>
      </c>
    </row>
    <row r="48" spans="1:22" x14ac:dyDescent="0.25">
      <c r="A48" s="324"/>
      <c r="B48" s="80" t="s">
        <v>28</v>
      </c>
      <c r="C48" s="34">
        <v>1</v>
      </c>
      <c r="D48" s="35">
        <v>1</v>
      </c>
      <c r="E48" s="36">
        <f>C48/D48</f>
        <v>1</v>
      </c>
      <c r="F48" s="37">
        <v>1</v>
      </c>
      <c r="G48" s="37">
        <v>1</v>
      </c>
      <c r="H48" s="37">
        <f>(E48+F48)*G48</f>
        <v>2</v>
      </c>
      <c r="I48" s="11">
        <f>H48/4</f>
        <v>0.5</v>
      </c>
      <c r="J48" s="72">
        <v>120</v>
      </c>
      <c r="K48" s="13">
        <f>0.64*0.9*J48/1000</f>
        <v>6.9120000000000001E-2</v>
      </c>
      <c r="L48" s="38">
        <v>3</v>
      </c>
      <c r="M48" s="39">
        <f>H48*L48</f>
        <v>6</v>
      </c>
      <c r="N48" s="41">
        <f>M48*0.15</f>
        <v>0.89999999999999991</v>
      </c>
      <c r="O48" s="79">
        <v>0</v>
      </c>
      <c r="P48" s="42">
        <f>(L48+O48)*(H48+N48)</f>
        <v>8.6999999999999993</v>
      </c>
      <c r="Q48" s="75">
        <f>I48*K48*3.5</f>
        <v>0.12096</v>
      </c>
      <c r="R48" s="319"/>
      <c r="S48" s="320"/>
      <c r="T48" s="321"/>
      <c r="U48" s="322"/>
    </row>
    <row r="49" spans="1:21" ht="15.75" thickBot="1" x14ac:dyDescent="0.3">
      <c r="A49" s="325"/>
      <c r="B49" s="88" t="s">
        <v>29</v>
      </c>
      <c r="C49" s="89">
        <v>1</v>
      </c>
      <c r="D49" s="43">
        <v>1</v>
      </c>
      <c r="E49" s="44">
        <f>C49/D49</f>
        <v>1</v>
      </c>
      <c r="F49" s="45">
        <v>1</v>
      </c>
      <c r="G49" s="45">
        <v>1</v>
      </c>
      <c r="H49" s="45">
        <f>(E49+F49)*G49</f>
        <v>2</v>
      </c>
      <c r="I49" s="90">
        <f>H49/4</f>
        <v>0.5</v>
      </c>
      <c r="J49" s="73">
        <v>120</v>
      </c>
      <c r="K49" s="58">
        <f>0.64*0.9*J49/1000</f>
        <v>6.9120000000000001E-2</v>
      </c>
      <c r="L49" s="46">
        <v>3</v>
      </c>
      <c r="M49" s="47">
        <f>H49*L49</f>
        <v>6</v>
      </c>
      <c r="N49" s="49">
        <f>M49*0.15</f>
        <v>0.89999999999999991</v>
      </c>
      <c r="O49" s="91">
        <v>35</v>
      </c>
      <c r="P49" s="50">
        <f>(L49+O49)*(H49+N49)</f>
        <v>110.2</v>
      </c>
      <c r="Q49" s="76">
        <f>I49*K49*3.5</f>
        <v>0.12096</v>
      </c>
      <c r="R49" s="289"/>
      <c r="S49" s="291"/>
      <c r="T49" s="281"/>
      <c r="U49" s="283"/>
    </row>
    <row r="50" spans="1:21" ht="75" x14ac:dyDescent="0.25">
      <c r="A50" s="316" t="s">
        <v>90</v>
      </c>
      <c r="B50" s="81"/>
      <c r="C50" s="82" t="s">
        <v>20</v>
      </c>
      <c r="D50" s="83" t="s">
        <v>2</v>
      </c>
      <c r="E50" s="84" t="s">
        <v>3</v>
      </c>
      <c r="F50" s="83" t="s">
        <v>4</v>
      </c>
      <c r="G50" s="83" t="s">
        <v>21</v>
      </c>
      <c r="H50" s="83" t="s">
        <v>22</v>
      </c>
      <c r="I50" s="85" t="s">
        <v>5</v>
      </c>
      <c r="J50" s="83" t="s">
        <v>6</v>
      </c>
      <c r="K50" s="83" t="s">
        <v>7</v>
      </c>
      <c r="L50" s="83" t="s">
        <v>8</v>
      </c>
      <c r="M50" s="83" t="s">
        <v>9</v>
      </c>
      <c r="N50" s="83" t="s">
        <v>36</v>
      </c>
      <c r="O50" s="83" t="s">
        <v>39</v>
      </c>
      <c r="P50" s="83" t="s">
        <v>40</v>
      </c>
      <c r="Q50" s="83" t="s">
        <v>15</v>
      </c>
      <c r="R50" s="86" t="s">
        <v>24</v>
      </c>
      <c r="S50" s="83" t="s">
        <v>25</v>
      </c>
      <c r="T50" s="83" t="s">
        <v>18</v>
      </c>
      <c r="U50" s="87" t="s">
        <v>26</v>
      </c>
    </row>
    <row r="51" spans="1:21" x14ac:dyDescent="0.25">
      <c r="A51" s="317"/>
      <c r="B51" s="80" t="s">
        <v>27</v>
      </c>
      <c r="C51" s="34">
        <v>1</v>
      </c>
      <c r="D51" s="35">
        <v>1</v>
      </c>
      <c r="E51" s="36">
        <f>C51/D51</f>
        <v>1</v>
      </c>
      <c r="F51" s="37">
        <v>0</v>
      </c>
      <c r="G51" s="37">
        <v>22</v>
      </c>
      <c r="H51" s="37">
        <f>(E51+F51)*G51</f>
        <v>22</v>
      </c>
      <c r="I51" s="11">
        <f>H51/4</f>
        <v>5.5</v>
      </c>
      <c r="J51" s="72">
        <v>115</v>
      </c>
      <c r="K51" s="13">
        <f>0.64*0.9*J51/1000</f>
        <v>6.6240000000000007E-2</v>
      </c>
      <c r="L51" s="38">
        <v>6</v>
      </c>
      <c r="M51" s="39">
        <f>H51*L51</f>
        <v>132</v>
      </c>
      <c r="N51" s="41">
        <f>M51*0.15</f>
        <v>19.8</v>
      </c>
      <c r="O51" s="79">
        <v>80</v>
      </c>
      <c r="P51" s="42">
        <f>(L51+O51)*H51+N51</f>
        <v>1911.8</v>
      </c>
      <c r="Q51" s="75">
        <f>I51*K51*7</f>
        <v>2.5502400000000001</v>
      </c>
      <c r="R51" s="319">
        <f>C51*230+H53*9</f>
        <v>257</v>
      </c>
      <c r="S51" s="320">
        <v>0.3</v>
      </c>
      <c r="T51" s="321">
        <f>(P51+P53+P52+R51)+((P51+P53+P52+R51)*S51)+(Q51+Q52+Q53)</f>
        <v>3071.2940799999997</v>
      </c>
      <c r="U51" s="322">
        <f>T51/C53</f>
        <v>3071.2940799999997</v>
      </c>
    </row>
    <row r="52" spans="1:21" x14ac:dyDescent="0.25">
      <c r="A52" s="317"/>
      <c r="B52" s="80" t="s">
        <v>28</v>
      </c>
      <c r="C52" s="34">
        <v>1</v>
      </c>
      <c r="D52" s="35">
        <v>1</v>
      </c>
      <c r="E52" s="36">
        <f>C52/D52</f>
        <v>1</v>
      </c>
      <c r="F52" s="37">
        <v>0</v>
      </c>
      <c r="G52" s="37">
        <v>1</v>
      </c>
      <c r="H52" s="37">
        <f>(E52+F52)*G52</f>
        <v>1</v>
      </c>
      <c r="I52" s="11">
        <f>H52/4</f>
        <v>0.25</v>
      </c>
      <c r="J52" s="72">
        <v>120</v>
      </c>
      <c r="K52" s="13">
        <f>0.64*0.9*J52/1000</f>
        <v>6.9120000000000001E-2</v>
      </c>
      <c r="L52" s="38">
        <v>3</v>
      </c>
      <c r="M52" s="39">
        <f>H52*L52</f>
        <v>3</v>
      </c>
      <c r="N52" s="41">
        <f>M52*0.15</f>
        <v>0.44999999999999996</v>
      </c>
      <c r="O52" s="79">
        <v>0</v>
      </c>
      <c r="P52" s="42">
        <f>(L52+O52)*(H52+N52)</f>
        <v>4.3499999999999996</v>
      </c>
      <c r="Q52" s="75">
        <f>I52*K52*7</f>
        <v>0.12096</v>
      </c>
      <c r="R52" s="319"/>
      <c r="S52" s="320"/>
      <c r="T52" s="321"/>
      <c r="U52" s="322"/>
    </row>
    <row r="53" spans="1:21" ht="15.75" thickBot="1" x14ac:dyDescent="0.3">
      <c r="A53" s="318"/>
      <c r="B53" s="88" t="s">
        <v>29</v>
      </c>
      <c r="C53" s="89">
        <v>1</v>
      </c>
      <c r="D53" s="43">
        <v>1</v>
      </c>
      <c r="E53" s="44">
        <f>C53/D53</f>
        <v>1</v>
      </c>
      <c r="F53" s="45">
        <v>2</v>
      </c>
      <c r="G53" s="45">
        <v>1</v>
      </c>
      <c r="H53" s="45">
        <f>(E53+F53)*G53</f>
        <v>3</v>
      </c>
      <c r="I53" s="90">
        <f>H53/4</f>
        <v>0.75</v>
      </c>
      <c r="J53" s="73">
        <v>120</v>
      </c>
      <c r="K53" s="58">
        <f>0.64*0.9*J53/1000</f>
        <v>6.9120000000000001E-2</v>
      </c>
      <c r="L53" s="46">
        <v>3</v>
      </c>
      <c r="M53" s="47">
        <f>H53*L53</f>
        <v>9</v>
      </c>
      <c r="N53" s="49">
        <f>M53*0.15</f>
        <v>1.3499999999999999</v>
      </c>
      <c r="O53" s="91">
        <v>40</v>
      </c>
      <c r="P53" s="50">
        <f>(L53+O53)*(H53+N53)</f>
        <v>187.04999999999998</v>
      </c>
      <c r="Q53" s="76">
        <f>I53*K53*7</f>
        <v>0.36287999999999998</v>
      </c>
      <c r="R53" s="289"/>
      <c r="S53" s="291"/>
      <c r="T53" s="281"/>
      <c r="U53" s="283"/>
    </row>
    <row r="54" spans="1:21" ht="75" x14ac:dyDescent="0.25">
      <c r="A54" s="316" t="s">
        <v>93</v>
      </c>
      <c r="B54" s="81"/>
      <c r="C54" s="82" t="s">
        <v>20</v>
      </c>
      <c r="D54" s="83" t="s">
        <v>2</v>
      </c>
      <c r="E54" s="84" t="s">
        <v>3</v>
      </c>
      <c r="F54" s="83" t="s">
        <v>4</v>
      </c>
      <c r="G54" s="83" t="s">
        <v>21</v>
      </c>
      <c r="H54" s="83" t="s">
        <v>22</v>
      </c>
      <c r="I54" s="85" t="s">
        <v>5</v>
      </c>
      <c r="J54" s="83" t="s">
        <v>6</v>
      </c>
      <c r="K54" s="83" t="s">
        <v>7</v>
      </c>
      <c r="L54" s="83" t="s">
        <v>8</v>
      </c>
      <c r="M54" s="83" t="s">
        <v>9</v>
      </c>
      <c r="N54" s="83" t="s">
        <v>36</v>
      </c>
      <c r="O54" s="83" t="s">
        <v>39</v>
      </c>
      <c r="P54" s="83" t="s">
        <v>40</v>
      </c>
      <c r="Q54" s="83" t="s">
        <v>15</v>
      </c>
      <c r="R54" s="86" t="s">
        <v>24</v>
      </c>
      <c r="S54" s="83" t="s">
        <v>25</v>
      </c>
      <c r="T54" s="83" t="s">
        <v>18</v>
      </c>
      <c r="U54" s="87" t="s">
        <v>26</v>
      </c>
    </row>
    <row r="55" spans="1:21" x14ac:dyDescent="0.25">
      <c r="A55" s="317"/>
      <c r="B55" s="80" t="s">
        <v>85</v>
      </c>
      <c r="C55" s="34">
        <v>35</v>
      </c>
      <c r="D55" s="35">
        <v>1</v>
      </c>
      <c r="E55" s="36">
        <f>C55/D55</f>
        <v>35</v>
      </c>
      <c r="F55" s="37">
        <v>0</v>
      </c>
      <c r="G55" s="37">
        <v>27</v>
      </c>
      <c r="H55" s="37">
        <f>(E55+F55)*G55</f>
        <v>945</v>
      </c>
      <c r="I55" s="11">
        <f>H55/4</f>
        <v>236.25</v>
      </c>
      <c r="J55" s="72">
        <v>80</v>
      </c>
      <c r="K55" s="13">
        <f>0.64*0.9*J55/1000</f>
        <v>4.6080000000000003E-2</v>
      </c>
      <c r="L55" s="38">
        <v>2</v>
      </c>
      <c r="M55" s="39">
        <f>H55*L55</f>
        <v>1890</v>
      </c>
      <c r="N55" s="41">
        <f>M55*0.15</f>
        <v>283.5</v>
      </c>
      <c r="O55" s="79">
        <v>12</v>
      </c>
      <c r="P55" s="42">
        <f>(L55+O55)*H55+N55</f>
        <v>13513.5</v>
      </c>
      <c r="Q55" s="75">
        <f>I55*K55*7</f>
        <v>76.204800000000006</v>
      </c>
      <c r="R55" s="319">
        <f>C55*80+H57*9</f>
        <v>3124</v>
      </c>
      <c r="S55" s="320">
        <v>0.3</v>
      </c>
      <c r="T55" s="321">
        <f>(P55+P57+P56+R55)+((P55+P57+P56+R55)*S55)+(Q55+Q56+Q57)</f>
        <v>24829.447959999998</v>
      </c>
      <c r="U55" s="322">
        <f>T55/C57</f>
        <v>709.41279885714277</v>
      </c>
    </row>
    <row r="56" spans="1:21" x14ac:dyDescent="0.25">
      <c r="A56" s="317"/>
      <c r="B56" s="80" t="s">
        <v>91</v>
      </c>
      <c r="C56" s="34">
        <v>35</v>
      </c>
      <c r="D56" s="35">
        <v>1</v>
      </c>
      <c r="E56" s="36">
        <f>C56/D56</f>
        <v>35</v>
      </c>
      <c r="F56" s="37">
        <v>0</v>
      </c>
      <c r="G56" s="37">
        <v>1</v>
      </c>
      <c r="H56" s="37">
        <f>(E56+F56)*G56</f>
        <v>35</v>
      </c>
      <c r="I56" s="11">
        <f>H56/4</f>
        <v>8.75</v>
      </c>
      <c r="J56" s="72">
        <v>120</v>
      </c>
      <c r="K56" s="13">
        <f>0.64*0.9*J56/1000</f>
        <v>6.9120000000000001E-2</v>
      </c>
      <c r="L56" s="38">
        <v>3</v>
      </c>
      <c r="M56" s="39">
        <f>H56*L56</f>
        <v>105</v>
      </c>
      <c r="N56" s="41">
        <f>M56*0.15</f>
        <v>15.75</v>
      </c>
      <c r="O56" s="79">
        <v>0</v>
      </c>
      <c r="P56" s="42">
        <f>(L56+O56)*(H56+N56)</f>
        <v>152.25</v>
      </c>
      <c r="Q56" s="75">
        <f>I56*K56*7</f>
        <v>4.2336</v>
      </c>
      <c r="R56" s="319"/>
      <c r="S56" s="320"/>
      <c r="T56" s="321"/>
      <c r="U56" s="322"/>
    </row>
    <row r="57" spans="1:21" ht="15.75" thickBot="1" x14ac:dyDescent="0.3">
      <c r="A57" s="318"/>
      <c r="B57" s="88" t="s">
        <v>92</v>
      </c>
      <c r="C57" s="89">
        <v>35</v>
      </c>
      <c r="D57" s="43">
        <v>1</v>
      </c>
      <c r="E57" s="44">
        <f>C57/D57</f>
        <v>35</v>
      </c>
      <c r="F57" s="45">
        <v>1</v>
      </c>
      <c r="G57" s="45">
        <v>1</v>
      </c>
      <c r="H57" s="45">
        <f>(E57+F57)*G57</f>
        <v>36</v>
      </c>
      <c r="I57" s="90">
        <f>H57/4</f>
        <v>9</v>
      </c>
      <c r="J57" s="73">
        <v>120</v>
      </c>
      <c r="K57" s="58">
        <f>0.64*0.9*J57/1000</f>
        <v>6.9120000000000001E-2</v>
      </c>
      <c r="L57" s="46">
        <v>3</v>
      </c>
      <c r="M57" s="47">
        <f>H57*L57</f>
        <v>108</v>
      </c>
      <c r="N57" s="49">
        <f>M57*0.15</f>
        <v>16.2</v>
      </c>
      <c r="O57" s="91">
        <v>40</v>
      </c>
      <c r="P57" s="50">
        <f>(L57+O57)*(H57+N57)</f>
        <v>2244.6</v>
      </c>
      <c r="Q57" s="76">
        <f>I57*K57*7</f>
        <v>4.3545599999999993</v>
      </c>
      <c r="R57" s="289"/>
      <c r="S57" s="291"/>
      <c r="T57" s="281"/>
      <c r="U57" s="283"/>
    </row>
    <row r="58" spans="1:21" ht="75" x14ac:dyDescent="0.25">
      <c r="A58" s="316" t="s">
        <v>94</v>
      </c>
      <c r="B58" s="81"/>
      <c r="C58" s="82" t="s">
        <v>20</v>
      </c>
      <c r="D58" s="83" t="s">
        <v>2</v>
      </c>
      <c r="E58" s="84" t="s">
        <v>3</v>
      </c>
      <c r="F58" s="83" t="s">
        <v>4</v>
      </c>
      <c r="G58" s="83" t="s">
        <v>21</v>
      </c>
      <c r="H58" s="83" t="s">
        <v>22</v>
      </c>
      <c r="I58" s="85" t="s">
        <v>5</v>
      </c>
      <c r="J58" s="83" t="s">
        <v>6</v>
      </c>
      <c r="K58" s="83" t="s">
        <v>7</v>
      </c>
      <c r="L58" s="83" t="s">
        <v>8</v>
      </c>
      <c r="M58" s="83" t="s">
        <v>9</v>
      </c>
      <c r="N58" s="83" t="s">
        <v>36</v>
      </c>
      <c r="O58" s="83" t="s">
        <v>39</v>
      </c>
      <c r="P58" s="83" t="s">
        <v>40</v>
      </c>
      <c r="Q58" s="83" t="s">
        <v>15</v>
      </c>
      <c r="R58" s="86" t="s">
        <v>24</v>
      </c>
      <c r="S58" s="83" t="s">
        <v>25</v>
      </c>
      <c r="T58" s="83" t="s">
        <v>18</v>
      </c>
      <c r="U58" s="87" t="s">
        <v>26</v>
      </c>
    </row>
    <row r="59" spans="1:21" x14ac:dyDescent="0.25">
      <c r="A59" s="317"/>
      <c r="B59" s="80" t="s">
        <v>85</v>
      </c>
      <c r="C59" s="34">
        <v>58</v>
      </c>
      <c r="D59" s="35">
        <v>1</v>
      </c>
      <c r="E59" s="36">
        <f>C59/D59</f>
        <v>58</v>
      </c>
      <c r="F59" s="37">
        <v>5</v>
      </c>
      <c r="G59" s="37">
        <v>12</v>
      </c>
      <c r="H59" s="37">
        <f>(E59+F59)*G59</f>
        <v>756</v>
      </c>
      <c r="I59" s="11">
        <f>H59/4</f>
        <v>189</v>
      </c>
      <c r="J59" s="72">
        <v>80</v>
      </c>
      <c r="K59" s="13">
        <f>0.64*0.9*J59/1000</f>
        <v>4.6080000000000003E-2</v>
      </c>
      <c r="L59" s="38">
        <v>3</v>
      </c>
      <c r="M59" s="39">
        <f>H59*L59</f>
        <v>2268</v>
      </c>
      <c r="N59" s="41">
        <f>M59*0.15</f>
        <v>340.2</v>
      </c>
      <c r="O59" s="79">
        <v>12</v>
      </c>
      <c r="P59" s="42">
        <f>(L59+O59)*H59+N59</f>
        <v>11680.2</v>
      </c>
      <c r="Q59" s="75">
        <f>I59*K59*7</f>
        <v>60.963840000000005</v>
      </c>
      <c r="R59" s="319">
        <f>C59*80+H61*9+7000+6500</f>
        <v>18680</v>
      </c>
      <c r="S59" s="320">
        <v>0.3</v>
      </c>
      <c r="T59" s="321">
        <f>(P59+P61+P60+R59)+((P59+P61+P60+R59)*S59)+(Q59+Q60+Q61)</f>
        <v>45120.269619999999</v>
      </c>
      <c r="U59" s="322">
        <f>T59/C61</f>
        <v>777.93568310344824</v>
      </c>
    </row>
    <row r="60" spans="1:21" x14ac:dyDescent="0.25">
      <c r="A60" s="317"/>
      <c r="B60" s="80" t="s">
        <v>91</v>
      </c>
      <c r="C60" s="34">
        <v>58</v>
      </c>
      <c r="D60" s="35">
        <v>1</v>
      </c>
      <c r="E60" s="36">
        <f>C60/D60</f>
        <v>58</v>
      </c>
      <c r="F60" s="37">
        <v>0</v>
      </c>
      <c r="G60" s="37">
        <v>1</v>
      </c>
      <c r="H60" s="37">
        <f>(E60+F60)*G60</f>
        <v>58</v>
      </c>
      <c r="I60" s="11">
        <f>H60/4</f>
        <v>14.5</v>
      </c>
      <c r="J60" s="72">
        <v>120</v>
      </c>
      <c r="K60" s="13">
        <f>0.64*0.9*J60/1000</f>
        <v>6.9120000000000001E-2</v>
      </c>
      <c r="L60" s="38">
        <v>3.5</v>
      </c>
      <c r="M60" s="39">
        <f>H60*L60</f>
        <v>203</v>
      </c>
      <c r="N60" s="41">
        <f>M60*0.15</f>
        <v>30.45</v>
      </c>
      <c r="O60" s="79">
        <v>0</v>
      </c>
      <c r="P60" s="42">
        <f>(L60+O60)*(H60+N60)</f>
        <v>309.57499999999999</v>
      </c>
      <c r="Q60" s="75">
        <f>I60*K60*7</f>
        <v>7.0156799999999997</v>
      </c>
      <c r="R60" s="319"/>
      <c r="S60" s="320"/>
      <c r="T60" s="321"/>
      <c r="U60" s="322"/>
    </row>
    <row r="61" spans="1:21" ht="15.75" thickBot="1" x14ac:dyDescent="0.3">
      <c r="A61" s="318"/>
      <c r="B61" s="88" t="s">
        <v>92</v>
      </c>
      <c r="C61" s="89">
        <v>58</v>
      </c>
      <c r="D61" s="43">
        <v>1</v>
      </c>
      <c r="E61" s="44">
        <f>C61/D61</f>
        <v>58</v>
      </c>
      <c r="F61" s="45">
        <v>2</v>
      </c>
      <c r="G61" s="45">
        <v>1</v>
      </c>
      <c r="H61" s="45">
        <f>(E61+F61)*G61</f>
        <v>60</v>
      </c>
      <c r="I61" s="90">
        <f>H61/4</f>
        <v>15</v>
      </c>
      <c r="J61" s="73">
        <v>120</v>
      </c>
      <c r="K61" s="58">
        <f>0.64*0.9*J61/1000</f>
        <v>6.9120000000000001E-2</v>
      </c>
      <c r="L61" s="46">
        <v>3.5</v>
      </c>
      <c r="M61" s="47">
        <f>H61*L61</f>
        <v>210</v>
      </c>
      <c r="N61" s="49">
        <f>M61*0.15</f>
        <v>31.5</v>
      </c>
      <c r="O61" s="91">
        <v>40</v>
      </c>
      <c r="P61" s="50">
        <f>(L61+O61)*(H61+N61)</f>
        <v>3980.25</v>
      </c>
      <c r="Q61" s="76">
        <f>I61*K61*7</f>
        <v>7.2576000000000001</v>
      </c>
      <c r="R61" s="289"/>
      <c r="S61" s="291"/>
      <c r="T61" s="281"/>
      <c r="U61" s="283"/>
    </row>
    <row r="62" spans="1:21" ht="75" x14ac:dyDescent="0.25">
      <c r="A62" s="316" t="s">
        <v>95</v>
      </c>
      <c r="B62" s="81"/>
      <c r="C62" s="82" t="s">
        <v>20</v>
      </c>
      <c r="D62" s="83" t="s">
        <v>2</v>
      </c>
      <c r="E62" s="84" t="s">
        <v>3</v>
      </c>
      <c r="F62" s="83" t="s">
        <v>4</v>
      </c>
      <c r="G62" s="83" t="s">
        <v>21</v>
      </c>
      <c r="H62" s="83" t="s">
        <v>22</v>
      </c>
      <c r="I62" s="85" t="s">
        <v>5</v>
      </c>
      <c r="J62" s="83" t="s">
        <v>6</v>
      </c>
      <c r="K62" s="83" t="s">
        <v>7</v>
      </c>
      <c r="L62" s="83" t="s">
        <v>8</v>
      </c>
      <c r="M62" s="83" t="s">
        <v>9</v>
      </c>
      <c r="N62" s="83" t="s">
        <v>36</v>
      </c>
      <c r="O62" s="83" t="s">
        <v>39</v>
      </c>
      <c r="P62" s="83" t="s">
        <v>40</v>
      </c>
      <c r="Q62" s="83" t="s">
        <v>15</v>
      </c>
      <c r="R62" s="86" t="s">
        <v>24</v>
      </c>
      <c r="S62" s="83" t="s">
        <v>25</v>
      </c>
      <c r="T62" s="83" t="s">
        <v>18</v>
      </c>
      <c r="U62" s="87" t="s">
        <v>26</v>
      </c>
    </row>
    <row r="63" spans="1:21" x14ac:dyDescent="0.25">
      <c r="A63" s="317"/>
      <c r="B63" s="80" t="s">
        <v>85</v>
      </c>
      <c r="C63" s="34">
        <v>58</v>
      </c>
      <c r="D63" s="35">
        <v>1</v>
      </c>
      <c r="E63" s="36">
        <f>C63/D63</f>
        <v>58</v>
      </c>
      <c r="F63" s="37">
        <v>5</v>
      </c>
      <c r="G63" s="37">
        <v>12</v>
      </c>
      <c r="H63" s="37">
        <f>(E63+F63)*G63</f>
        <v>756</v>
      </c>
      <c r="I63" s="11">
        <f>H63/4</f>
        <v>189</v>
      </c>
      <c r="J63" s="72">
        <v>80</v>
      </c>
      <c r="K63" s="13">
        <f>0.64*0.9*J63/1000</f>
        <v>4.6080000000000003E-2</v>
      </c>
      <c r="L63" s="38">
        <v>3</v>
      </c>
      <c r="M63" s="39">
        <f>H63*L63</f>
        <v>2268</v>
      </c>
      <c r="N63" s="41">
        <f>M63*0.15</f>
        <v>340.2</v>
      </c>
      <c r="O63" s="79">
        <v>12</v>
      </c>
      <c r="P63" s="42">
        <f>(L63+O63)*H63+N63</f>
        <v>11680.2</v>
      </c>
      <c r="Q63" s="75">
        <f>I63*K63*7</f>
        <v>60.963840000000005</v>
      </c>
      <c r="R63" s="319">
        <f>C63*80+H65*9+7000+6500</f>
        <v>18680</v>
      </c>
      <c r="S63" s="320">
        <v>0.3</v>
      </c>
      <c r="T63" s="321">
        <f>(P63+P65+P64+R63)+((P63+P65+P64+R63)*S63)+(Q63+Q64+Q65)</f>
        <v>45120.269619999999</v>
      </c>
      <c r="U63" s="322">
        <f>T63/C65</f>
        <v>777.93568310344824</v>
      </c>
    </row>
    <row r="64" spans="1:21" x14ac:dyDescent="0.25">
      <c r="A64" s="317"/>
      <c r="B64" s="80" t="s">
        <v>91</v>
      </c>
      <c r="C64" s="34">
        <v>58</v>
      </c>
      <c r="D64" s="35">
        <v>1</v>
      </c>
      <c r="E64" s="36">
        <f>C64/D64</f>
        <v>58</v>
      </c>
      <c r="F64" s="37">
        <v>0</v>
      </c>
      <c r="G64" s="37">
        <v>1</v>
      </c>
      <c r="H64" s="37">
        <f>(E64+F64)*G64</f>
        <v>58</v>
      </c>
      <c r="I64" s="11">
        <f>H64/4</f>
        <v>14.5</v>
      </c>
      <c r="J64" s="72">
        <v>120</v>
      </c>
      <c r="K64" s="13">
        <f>0.64*0.9*J64/1000</f>
        <v>6.9120000000000001E-2</v>
      </c>
      <c r="L64" s="38">
        <v>3.5</v>
      </c>
      <c r="M64" s="39">
        <f>H64*L64</f>
        <v>203</v>
      </c>
      <c r="N64" s="41">
        <f>M64*0.15</f>
        <v>30.45</v>
      </c>
      <c r="O64" s="79">
        <v>0</v>
      </c>
      <c r="P64" s="42">
        <f>(L64+O64)*(H64+N64)</f>
        <v>309.57499999999999</v>
      </c>
      <c r="Q64" s="75">
        <f>I64*K64*7</f>
        <v>7.0156799999999997</v>
      </c>
      <c r="R64" s="319"/>
      <c r="S64" s="320"/>
      <c r="T64" s="321"/>
      <c r="U64" s="322"/>
    </row>
    <row r="65" spans="1:21" ht="15.75" thickBot="1" x14ac:dyDescent="0.3">
      <c r="A65" s="318"/>
      <c r="B65" s="88" t="s">
        <v>96</v>
      </c>
      <c r="C65" s="89">
        <v>58</v>
      </c>
      <c r="D65" s="43">
        <v>1</v>
      </c>
      <c r="E65" s="44">
        <f>C65/D65</f>
        <v>58</v>
      </c>
      <c r="F65" s="45">
        <v>2</v>
      </c>
      <c r="G65" s="45">
        <v>1</v>
      </c>
      <c r="H65" s="45">
        <f>(E65+F65)*G65</f>
        <v>60</v>
      </c>
      <c r="I65" s="90">
        <f>H65/4</f>
        <v>15</v>
      </c>
      <c r="J65" s="73">
        <v>120</v>
      </c>
      <c r="K65" s="58">
        <f>0.64*0.9*J65/1000</f>
        <v>6.9120000000000001E-2</v>
      </c>
      <c r="L65" s="46">
        <v>3.5</v>
      </c>
      <c r="M65" s="47">
        <f>H65*L65</f>
        <v>210</v>
      </c>
      <c r="N65" s="49">
        <f>M65*0.15</f>
        <v>31.5</v>
      </c>
      <c r="O65" s="91">
        <v>40</v>
      </c>
      <c r="P65" s="50">
        <f>(L65+O65)*(H65+N65)</f>
        <v>3980.25</v>
      </c>
      <c r="Q65" s="76">
        <f>I65*K65*7</f>
        <v>7.2576000000000001</v>
      </c>
      <c r="R65" s="289"/>
      <c r="S65" s="291"/>
      <c r="T65" s="281"/>
      <c r="U65" s="283"/>
    </row>
    <row r="66" spans="1:21" ht="79.5" customHeight="1" x14ac:dyDescent="0.25">
      <c r="A66" s="316" t="s">
        <v>97</v>
      </c>
      <c r="B66" s="81"/>
      <c r="C66" s="82" t="s">
        <v>20</v>
      </c>
      <c r="D66" s="83" t="s">
        <v>2</v>
      </c>
      <c r="E66" s="84" t="s">
        <v>3</v>
      </c>
      <c r="F66" s="83" t="s">
        <v>4</v>
      </c>
      <c r="G66" s="83" t="s">
        <v>21</v>
      </c>
      <c r="H66" s="83" t="s">
        <v>22</v>
      </c>
      <c r="I66" s="85" t="s">
        <v>5</v>
      </c>
      <c r="J66" s="83" t="s">
        <v>6</v>
      </c>
      <c r="K66" s="83" t="s">
        <v>7</v>
      </c>
      <c r="L66" s="83" t="s">
        <v>8</v>
      </c>
      <c r="M66" s="83" t="s">
        <v>9</v>
      </c>
      <c r="N66" s="83" t="s">
        <v>36</v>
      </c>
      <c r="O66" s="83" t="s">
        <v>39</v>
      </c>
      <c r="P66" s="83" t="s">
        <v>40</v>
      </c>
      <c r="Q66" s="83" t="s">
        <v>15</v>
      </c>
      <c r="R66" s="86" t="s">
        <v>24</v>
      </c>
      <c r="S66" s="83" t="s">
        <v>25</v>
      </c>
      <c r="T66" s="83" t="s">
        <v>18</v>
      </c>
      <c r="U66" s="87" t="s">
        <v>26</v>
      </c>
    </row>
    <row r="67" spans="1:21" x14ac:dyDescent="0.25">
      <c r="A67" s="317"/>
      <c r="B67" s="80" t="s">
        <v>27</v>
      </c>
      <c r="C67" s="34">
        <v>1</v>
      </c>
      <c r="D67" s="35">
        <v>1</v>
      </c>
      <c r="E67" s="36">
        <f>C67/D67</f>
        <v>1</v>
      </c>
      <c r="F67" s="37">
        <v>1</v>
      </c>
      <c r="G67" s="37">
        <v>83</v>
      </c>
      <c r="H67" s="37">
        <f>(E67+F67)*G67</f>
        <v>166</v>
      </c>
      <c r="I67" s="11">
        <f>H67/4</f>
        <v>41.5</v>
      </c>
      <c r="J67" s="72">
        <v>115</v>
      </c>
      <c r="K67" s="13">
        <f>0.64*0.9*J67/1000</f>
        <v>6.6240000000000007E-2</v>
      </c>
      <c r="L67" s="38">
        <v>5</v>
      </c>
      <c r="M67" s="39">
        <f>H67*L67</f>
        <v>830</v>
      </c>
      <c r="N67" s="41">
        <f>M67*0.15</f>
        <v>124.5</v>
      </c>
      <c r="O67" s="79">
        <v>35</v>
      </c>
      <c r="P67" s="42">
        <f>(L67+O67)*H67+N67</f>
        <v>6764.5</v>
      </c>
      <c r="Q67" s="75">
        <f>I67*K67*3.5</f>
        <v>9.621360000000001</v>
      </c>
      <c r="R67" s="306">
        <f>C69*9+130</f>
        <v>139</v>
      </c>
      <c r="S67" s="307">
        <v>0.3</v>
      </c>
      <c r="T67" s="308">
        <f>(P67+P69+P68+R67)+((P67+P69+P68+R67)*S67)+(Q67+Q68+Q69)</f>
        <v>9272.6115499999996</v>
      </c>
      <c r="U67" s="309">
        <f>T67/C69</f>
        <v>9272.6115499999996</v>
      </c>
    </row>
    <row r="68" spans="1:21" x14ac:dyDescent="0.25">
      <c r="A68" s="317"/>
      <c r="B68" s="80" t="s">
        <v>28</v>
      </c>
      <c r="C68" s="34">
        <v>0</v>
      </c>
      <c r="D68" s="35">
        <v>1</v>
      </c>
      <c r="E68" s="36">
        <f>C68/D68</f>
        <v>0</v>
      </c>
      <c r="F68" s="37">
        <v>0</v>
      </c>
      <c r="G68" s="37">
        <v>1</v>
      </c>
      <c r="H68" s="37">
        <f>(E68+F68)*G68</f>
        <v>0</v>
      </c>
      <c r="I68" s="11">
        <f>H68/4</f>
        <v>0</v>
      </c>
      <c r="J68" s="72">
        <v>120</v>
      </c>
      <c r="K68" s="13">
        <f>0.64*0.9*J68/1000</f>
        <v>6.9120000000000001E-2</v>
      </c>
      <c r="L68" s="38">
        <v>5.5</v>
      </c>
      <c r="M68" s="39">
        <f>H68*L68</f>
        <v>0</v>
      </c>
      <c r="N68" s="41">
        <f>M68*0.15</f>
        <v>0</v>
      </c>
      <c r="O68" s="79">
        <v>0</v>
      </c>
      <c r="P68" s="42">
        <f>(L68+O68)*(H68+N68)</f>
        <v>0</v>
      </c>
      <c r="Q68" s="75">
        <f>I68*K68*3.5</f>
        <v>0</v>
      </c>
      <c r="R68" s="275"/>
      <c r="S68" s="278"/>
      <c r="T68" s="262"/>
      <c r="U68" s="265"/>
    </row>
    <row r="69" spans="1:21" ht="15.75" thickBot="1" x14ac:dyDescent="0.3">
      <c r="A69" s="318"/>
      <c r="B69" s="88" t="s">
        <v>29</v>
      </c>
      <c r="C69" s="89">
        <v>1</v>
      </c>
      <c r="D69" s="43">
        <v>1</v>
      </c>
      <c r="E69" s="44">
        <f>C69/D69</f>
        <v>1</v>
      </c>
      <c r="F69" s="45">
        <v>2</v>
      </c>
      <c r="G69" s="45">
        <v>1</v>
      </c>
      <c r="H69" s="45">
        <f>(E69+F69)*G69</f>
        <v>3</v>
      </c>
      <c r="I69" s="90">
        <f>H69/4</f>
        <v>0.75</v>
      </c>
      <c r="J69" s="73">
        <v>120</v>
      </c>
      <c r="K69" s="58">
        <f>0.64*0.9*J69/1000</f>
        <v>6.9120000000000001E-2</v>
      </c>
      <c r="L69" s="46">
        <v>5.5</v>
      </c>
      <c r="M69" s="47">
        <f>H69*L69</f>
        <v>16.5</v>
      </c>
      <c r="N69" s="49">
        <f>M69*0.15</f>
        <v>2.4750000000000001</v>
      </c>
      <c r="O69" s="91">
        <v>35</v>
      </c>
      <c r="P69" s="50">
        <f>(L69+O69)*(H69+N69)</f>
        <v>221.73749999999998</v>
      </c>
      <c r="Q69" s="76">
        <f>I69*K69*3.5</f>
        <v>0.18143999999999999</v>
      </c>
      <c r="R69" s="294"/>
      <c r="S69" s="295"/>
      <c r="T69" s="292"/>
      <c r="U69" s="293"/>
    </row>
    <row r="70" spans="1:21" ht="75" x14ac:dyDescent="0.25">
      <c r="A70" s="316" t="s">
        <v>97</v>
      </c>
      <c r="B70" s="81"/>
      <c r="C70" s="82" t="s">
        <v>20</v>
      </c>
      <c r="D70" s="83" t="s">
        <v>2</v>
      </c>
      <c r="E70" s="84" t="s">
        <v>3</v>
      </c>
      <c r="F70" s="83" t="s">
        <v>4</v>
      </c>
      <c r="G70" s="83" t="s">
        <v>21</v>
      </c>
      <c r="H70" s="83" t="s">
        <v>22</v>
      </c>
      <c r="I70" s="85" t="s">
        <v>5</v>
      </c>
      <c r="J70" s="83" t="s">
        <v>6</v>
      </c>
      <c r="K70" s="83" t="s">
        <v>7</v>
      </c>
      <c r="L70" s="83" t="s">
        <v>8</v>
      </c>
      <c r="M70" s="83" t="s">
        <v>9</v>
      </c>
      <c r="N70" s="83" t="s">
        <v>36</v>
      </c>
      <c r="O70" s="83" t="s">
        <v>39</v>
      </c>
      <c r="P70" s="83" t="s">
        <v>40</v>
      </c>
      <c r="Q70" s="83" t="s">
        <v>15</v>
      </c>
      <c r="R70" s="86" t="s">
        <v>24</v>
      </c>
      <c r="S70" s="83" t="s">
        <v>25</v>
      </c>
      <c r="T70" s="83" t="s">
        <v>18</v>
      </c>
      <c r="U70" s="87" t="s">
        <v>26</v>
      </c>
    </row>
    <row r="71" spans="1:21" x14ac:dyDescent="0.25">
      <c r="A71" s="317"/>
      <c r="B71" s="80" t="s">
        <v>27</v>
      </c>
      <c r="C71" s="34">
        <v>20</v>
      </c>
      <c r="D71" s="35">
        <v>1</v>
      </c>
      <c r="E71" s="36">
        <f>C71/D71</f>
        <v>20</v>
      </c>
      <c r="F71" s="37">
        <v>1</v>
      </c>
      <c r="G71" s="37">
        <v>10</v>
      </c>
      <c r="H71" s="37">
        <f>(E71+F71)*G71</f>
        <v>210</v>
      </c>
      <c r="I71" s="11">
        <f>H71/4</f>
        <v>52.5</v>
      </c>
      <c r="J71" s="72">
        <v>115</v>
      </c>
      <c r="K71" s="13">
        <f>0.64*0.9*J71/1000</f>
        <v>6.6240000000000007E-2</v>
      </c>
      <c r="L71" s="38">
        <v>5</v>
      </c>
      <c r="M71" s="39">
        <f>H71*L71</f>
        <v>1050</v>
      </c>
      <c r="N71" s="41">
        <f>M71*0.15</f>
        <v>157.5</v>
      </c>
      <c r="O71" s="79">
        <v>35</v>
      </c>
      <c r="P71" s="42">
        <f>(L71+O71)*(H71+N71)</f>
        <v>14700</v>
      </c>
      <c r="Q71" s="75">
        <f>I71*K71*3.5</f>
        <v>12.171600000000002</v>
      </c>
      <c r="R71" s="306">
        <f>C73*9+130</f>
        <v>310</v>
      </c>
      <c r="S71" s="307">
        <v>0.3</v>
      </c>
      <c r="T71" s="308">
        <f>(P71+P73+P72+R71)+((P71+P73+P72+R71)*S71)+(Q71+Q72+Q73)</f>
        <v>21988.962159999999</v>
      </c>
      <c r="U71" s="309">
        <f>T71/C73</f>
        <v>1099.448108</v>
      </c>
    </row>
    <row r="72" spans="1:21" x14ac:dyDescent="0.25">
      <c r="A72" s="317"/>
      <c r="B72" s="80" t="s">
        <v>28</v>
      </c>
      <c r="C72" s="34">
        <v>0</v>
      </c>
      <c r="D72" s="35">
        <v>1</v>
      </c>
      <c r="E72" s="36">
        <f>C72/D72</f>
        <v>0</v>
      </c>
      <c r="F72" s="37">
        <v>0</v>
      </c>
      <c r="G72" s="37">
        <v>1</v>
      </c>
      <c r="H72" s="37">
        <f>(E72+F72)*G72</f>
        <v>0</v>
      </c>
      <c r="I72" s="11">
        <f>H72/4</f>
        <v>0</v>
      </c>
      <c r="J72" s="72">
        <v>120</v>
      </c>
      <c r="K72" s="13">
        <f>0.64*0.9*J72/1000</f>
        <v>6.9120000000000001E-2</v>
      </c>
      <c r="L72" s="38">
        <v>5.5</v>
      </c>
      <c r="M72" s="39">
        <f>H72*L72</f>
        <v>0</v>
      </c>
      <c r="N72" s="41">
        <f>M72*0.15</f>
        <v>0</v>
      </c>
      <c r="O72" s="79">
        <v>0</v>
      </c>
      <c r="P72" s="42">
        <f>(L72+O72)*(H72+N72)</f>
        <v>0</v>
      </c>
      <c r="Q72" s="75">
        <f>I72*K72*3.5</f>
        <v>0</v>
      </c>
      <c r="R72" s="275"/>
      <c r="S72" s="278"/>
      <c r="T72" s="262"/>
      <c r="U72" s="265"/>
    </row>
    <row r="73" spans="1:21" ht="15.75" thickBot="1" x14ac:dyDescent="0.3">
      <c r="A73" s="318"/>
      <c r="B73" s="88" t="s">
        <v>29</v>
      </c>
      <c r="C73" s="89">
        <v>20</v>
      </c>
      <c r="D73" s="43">
        <v>1</v>
      </c>
      <c r="E73" s="44">
        <f>C73/D73</f>
        <v>20</v>
      </c>
      <c r="F73" s="45">
        <v>2</v>
      </c>
      <c r="G73" s="45">
        <v>1</v>
      </c>
      <c r="H73" s="45">
        <f>(E73+F73)*G73</f>
        <v>22</v>
      </c>
      <c r="I73" s="90">
        <f>H73/4</f>
        <v>5.5</v>
      </c>
      <c r="J73" s="73">
        <v>120</v>
      </c>
      <c r="K73" s="58">
        <f>0.64*0.9*J73/1000</f>
        <v>6.9120000000000001E-2</v>
      </c>
      <c r="L73" s="46">
        <v>7</v>
      </c>
      <c r="M73" s="47">
        <f>H73*L73</f>
        <v>154</v>
      </c>
      <c r="N73" s="49">
        <f>M73*0.15</f>
        <v>23.099999999999998</v>
      </c>
      <c r="O73" s="91">
        <v>35</v>
      </c>
      <c r="P73" s="50">
        <f>(L73+O73)*(H73+N73)</f>
        <v>1894.1999999999998</v>
      </c>
      <c r="Q73" s="76">
        <f>I73*K73*3.5</f>
        <v>1.33056</v>
      </c>
      <c r="R73" s="294"/>
      <c r="S73" s="295"/>
      <c r="T73" s="292"/>
      <c r="U73" s="293"/>
    </row>
    <row r="74" spans="1:21" ht="84.75" customHeight="1" x14ac:dyDescent="0.25">
      <c r="A74" s="316" t="s">
        <v>97</v>
      </c>
      <c r="B74" s="81"/>
      <c r="C74" s="82" t="s">
        <v>20</v>
      </c>
      <c r="D74" s="83" t="s">
        <v>2</v>
      </c>
      <c r="E74" s="84" t="s">
        <v>3</v>
      </c>
      <c r="F74" s="83" t="s">
        <v>4</v>
      </c>
      <c r="G74" s="83" t="s">
        <v>21</v>
      </c>
      <c r="H74" s="83" t="s">
        <v>22</v>
      </c>
      <c r="I74" s="85" t="s">
        <v>5</v>
      </c>
      <c r="J74" s="83" t="s">
        <v>6</v>
      </c>
      <c r="K74" s="83" t="s">
        <v>7</v>
      </c>
      <c r="L74" s="83" t="s">
        <v>8</v>
      </c>
      <c r="M74" s="83" t="s">
        <v>9</v>
      </c>
      <c r="N74" s="83" t="s">
        <v>36</v>
      </c>
      <c r="O74" s="83" t="s">
        <v>39</v>
      </c>
      <c r="P74" s="83" t="s">
        <v>40</v>
      </c>
      <c r="Q74" s="83" t="s">
        <v>15</v>
      </c>
      <c r="R74" s="86" t="s">
        <v>24</v>
      </c>
      <c r="S74" s="83" t="s">
        <v>25</v>
      </c>
      <c r="T74" s="83" t="s">
        <v>18</v>
      </c>
      <c r="U74" s="87" t="s">
        <v>26</v>
      </c>
    </row>
    <row r="75" spans="1:21" x14ac:dyDescent="0.25">
      <c r="A75" s="317"/>
      <c r="B75" s="80" t="s">
        <v>27</v>
      </c>
      <c r="C75" s="34">
        <v>3438</v>
      </c>
      <c r="D75" s="35">
        <v>8</v>
      </c>
      <c r="E75" s="36">
        <f>C75/D75</f>
        <v>429.75</v>
      </c>
      <c r="F75" s="37">
        <v>1</v>
      </c>
      <c r="G75" s="37">
        <v>10</v>
      </c>
      <c r="H75" s="37">
        <f>(E75+F75)*G75</f>
        <v>4307.5</v>
      </c>
      <c r="I75" s="11">
        <f>H75/4</f>
        <v>1076.875</v>
      </c>
      <c r="J75" s="72">
        <v>80</v>
      </c>
      <c r="K75" s="13">
        <f>0.64*0.9*J75/1000</f>
        <v>4.6080000000000003E-2</v>
      </c>
      <c r="L75" s="38">
        <v>3</v>
      </c>
      <c r="M75" s="39">
        <f>H75*L75</f>
        <v>12922.5</v>
      </c>
      <c r="N75" s="41">
        <f>M75*0.15</f>
        <v>1938.375</v>
      </c>
      <c r="O75" s="79">
        <v>40</v>
      </c>
      <c r="P75" s="42">
        <f>(L75+O75)*(H75+N75)</f>
        <v>268572.625</v>
      </c>
      <c r="Q75" s="75">
        <f>I75*K75*3.5</f>
        <v>173.67840000000001</v>
      </c>
      <c r="R75" s="306"/>
      <c r="S75" s="307">
        <v>0</v>
      </c>
      <c r="T75" s="308">
        <f>(P75+P77+P76+R75)+((P75+P77+P76+R75)*S75)+(Q75+Q76+Q77)</f>
        <v>283346.69579999999</v>
      </c>
      <c r="U75" s="309">
        <f>T75/C76</f>
        <v>515.17581054545451</v>
      </c>
    </row>
    <row r="76" spans="1:21" x14ac:dyDescent="0.25">
      <c r="A76" s="317"/>
      <c r="B76" s="80" t="s">
        <v>29</v>
      </c>
      <c r="C76" s="34">
        <v>550</v>
      </c>
      <c r="D76" s="35">
        <v>8</v>
      </c>
      <c r="E76" s="36">
        <f>C76/D76</f>
        <v>68.75</v>
      </c>
      <c r="F76" s="37">
        <v>0</v>
      </c>
      <c r="G76" s="37">
        <v>1</v>
      </c>
      <c r="H76" s="37">
        <f>(E76+F76)*G76</f>
        <v>68.75</v>
      </c>
      <c r="I76" s="11">
        <f>H76/4</f>
        <v>17.1875</v>
      </c>
      <c r="J76" s="72">
        <v>300</v>
      </c>
      <c r="K76" s="13">
        <f>0.64*0.9*J76/1000</f>
        <v>0.17280000000000001</v>
      </c>
      <c r="L76" s="38">
        <v>14</v>
      </c>
      <c r="M76" s="39">
        <f>H76*L76</f>
        <v>962.5</v>
      </c>
      <c r="N76" s="41">
        <f>M76*0.15</f>
        <v>144.375</v>
      </c>
      <c r="O76" s="79">
        <v>40</v>
      </c>
      <c r="P76" s="42">
        <f>(L76+O76)*(H76+N76)</f>
        <v>11508.75</v>
      </c>
      <c r="Q76" s="75">
        <f>I76*K76*3.5</f>
        <v>10.395000000000001</v>
      </c>
      <c r="R76" s="275"/>
      <c r="S76" s="278"/>
      <c r="T76" s="262"/>
      <c r="U76" s="265"/>
    </row>
    <row r="77" spans="1:21" ht="15.75" thickBot="1" x14ac:dyDescent="0.3">
      <c r="A77" s="318"/>
      <c r="B77" s="88" t="s">
        <v>98</v>
      </c>
      <c r="C77" s="89">
        <v>550</v>
      </c>
      <c r="D77" s="43">
        <v>8</v>
      </c>
      <c r="E77" s="44">
        <f>C77/D77</f>
        <v>68.75</v>
      </c>
      <c r="F77" s="45">
        <v>2</v>
      </c>
      <c r="G77" s="45">
        <v>1</v>
      </c>
      <c r="H77" s="45">
        <f>(E77+F77)*G77</f>
        <v>70.75</v>
      </c>
      <c r="I77" s="90">
        <f>H77/4</f>
        <v>17.6875</v>
      </c>
      <c r="J77" s="73">
        <v>300</v>
      </c>
      <c r="K77" s="58">
        <f>0.64*0.9*J77/1000</f>
        <v>0.17280000000000001</v>
      </c>
      <c r="L77" s="46">
        <v>14</v>
      </c>
      <c r="M77" s="47">
        <f>H77*L77</f>
        <v>990.5</v>
      </c>
      <c r="N77" s="49">
        <f>M77*0.15</f>
        <v>148.57499999999999</v>
      </c>
      <c r="O77" s="91">
        <v>0</v>
      </c>
      <c r="P77" s="50">
        <f>(L77+O77)*(H77+N77)</f>
        <v>3070.5499999999997</v>
      </c>
      <c r="Q77" s="76">
        <f>I77*K77*3.5</f>
        <v>10.6974</v>
      </c>
      <c r="R77" s="294"/>
      <c r="S77" s="295"/>
      <c r="T77" s="292"/>
      <c r="U77" s="293"/>
    </row>
    <row r="78" spans="1:21" ht="75" x14ac:dyDescent="0.25">
      <c r="A78" s="316" t="s">
        <v>99</v>
      </c>
      <c r="B78" s="81"/>
      <c r="C78" s="82" t="s">
        <v>20</v>
      </c>
      <c r="D78" s="83" t="s">
        <v>2</v>
      </c>
      <c r="E78" s="84" t="s">
        <v>3</v>
      </c>
      <c r="F78" s="83" t="s">
        <v>4</v>
      </c>
      <c r="G78" s="83" t="s">
        <v>21</v>
      </c>
      <c r="H78" s="83" t="s">
        <v>22</v>
      </c>
      <c r="I78" s="85" t="s">
        <v>5</v>
      </c>
      <c r="J78" s="83" t="s">
        <v>6</v>
      </c>
      <c r="K78" s="83" t="s">
        <v>7</v>
      </c>
      <c r="L78" s="83" t="s">
        <v>8</v>
      </c>
      <c r="M78" s="83" t="s">
        <v>9</v>
      </c>
      <c r="N78" s="83" t="s">
        <v>36</v>
      </c>
      <c r="O78" s="83" t="s">
        <v>39</v>
      </c>
      <c r="P78" s="83" t="s">
        <v>40</v>
      </c>
      <c r="Q78" s="83" t="s">
        <v>15</v>
      </c>
      <c r="R78" s="86" t="s">
        <v>24</v>
      </c>
      <c r="S78" s="83" t="s">
        <v>25</v>
      </c>
      <c r="T78" s="83" t="s">
        <v>18</v>
      </c>
      <c r="U78" s="87" t="s">
        <v>26</v>
      </c>
    </row>
    <row r="79" spans="1:21" x14ac:dyDescent="0.25">
      <c r="A79" s="317"/>
      <c r="B79" s="80" t="s">
        <v>27</v>
      </c>
      <c r="C79" s="34">
        <v>20</v>
      </c>
      <c r="D79" s="35">
        <v>1</v>
      </c>
      <c r="E79" s="36">
        <f>C79/D79</f>
        <v>20</v>
      </c>
      <c r="F79" s="37">
        <v>1</v>
      </c>
      <c r="G79" s="37">
        <v>10</v>
      </c>
      <c r="H79" s="37">
        <f>(E79+F79)*G79</f>
        <v>210</v>
      </c>
      <c r="I79" s="11">
        <f>H79/4</f>
        <v>52.5</v>
      </c>
      <c r="J79" s="72">
        <v>115</v>
      </c>
      <c r="K79" s="13">
        <f>0.64*0.9*J79/1000</f>
        <v>6.6240000000000007E-2</v>
      </c>
      <c r="L79" s="38">
        <v>5</v>
      </c>
      <c r="M79" s="39">
        <f>H79*L79</f>
        <v>1050</v>
      </c>
      <c r="N79" s="41">
        <f>M79*0.15</f>
        <v>157.5</v>
      </c>
      <c r="O79" s="79">
        <v>35</v>
      </c>
      <c r="P79" s="42">
        <f>(L79+O79)*H79+N79</f>
        <v>8557.5</v>
      </c>
      <c r="Q79" s="75">
        <f>I79*K79*3.5</f>
        <v>12.171600000000002</v>
      </c>
      <c r="R79" s="306">
        <f>C81*9+130</f>
        <v>310</v>
      </c>
      <c r="S79" s="307">
        <v>0.3</v>
      </c>
      <c r="T79" s="308">
        <f>(P79+P81+P80+R79)+((P79+P81+P80+R79)*S79)+(Q79+Q80+Q81)</f>
        <v>14003.712160000001</v>
      </c>
      <c r="U79" s="309">
        <f>T79/C81</f>
        <v>700.185608</v>
      </c>
    </row>
    <row r="80" spans="1:21" x14ac:dyDescent="0.25">
      <c r="A80" s="317"/>
      <c r="B80" s="80" t="s">
        <v>28</v>
      </c>
      <c r="C80" s="34">
        <v>0</v>
      </c>
      <c r="D80" s="35">
        <v>1</v>
      </c>
      <c r="E80" s="36">
        <f>C80/D80</f>
        <v>0</v>
      </c>
      <c r="F80" s="37">
        <v>0</v>
      </c>
      <c r="G80" s="37">
        <v>1</v>
      </c>
      <c r="H80" s="37">
        <f>(E80+F80)*G80</f>
        <v>0</v>
      </c>
      <c r="I80" s="11">
        <f>H80/4</f>
        <v>0</v>
      </c>
      <c r="J80" s="72">
        <v>120</v>
      </c>
      <c r="K80" s="13">
        <f>0.64*0.9*J80/1000</f>
        <v>6.9120000000000001E-2</v>
      </c>
      <c r="L80" s="38">
        <v>5.5</v>
      </c>
      <c r="M80" s="39">
        <f>H80*L80</f>
        <v>0</v>
      </c>
      <c r="N80" s="41">
        <f>M80*0.15</f>
        <v>0</v>
      </c>
      <c r="O80" s="79">
        <v>0</v>
      </c>
      <c r="P80" s="42">
        <f>(L80+O80)*(H80+N80)</f>
        <v>0</v>
      </c>
      <c r="Q80" s="75">
        <f>I80*K80*3.5</f>
        <v>0</v>
      </c>
      <c r="R80" s="275"/>
      <c r="S80" s="278"/>
      <c r="T80" s="262"/>
      <c r="U80" s="265"/>
    </row>
    <row r="81" spans="1:21" ht="15.75" thickBot="1" x14ac:dyDescent="0.3">
      <c r="A81" s="318"/>
      <c r="B81" s="88" t="s">
        <v>29</v>
      </c>
      <c r="C81" s="89">
        <v>20</v>
      </c>
      <c r="D81" s="43">
        <v>1</v>
      </c>
      <c r="E81" s="44">
        <f>C81/D81</f>
        <v>20</v>
      </c>
      <c r="F81" s="45">
        <v>2</v>
      </c>
      <c r="G81" s="45">
        <v>1</v>
      </c>
      <c r="H81" s="45">
        <f>(E81+F81)*G81</f>
        <v>22</v>
      </c>
      <c r="I81" s="90">
        <f>H81/4</f>
        <v>5.5</v>
      </c>
      <c r="J81" s="73">
        <v>120</v>
      </c>
      <c r="K81" s="58">
        <f>0.64*0.9*J81/1000</f>
        <v>6.9120000000000001E-2</v>
      </c>
      <c r="L81" s="46">
        <v>7</v>
      </c>
      <c r="M81" s="47">
        <f>H81*L81</f>
        <v>154</v>
      </c>
      <c r="N81" s="49">
        <f>M81*0.15</f>
        <v>23.099999999999998</v>
      </c>
      <c r="O81" s="91">
        <v>35</v>
      </c>
      <c r="P81" s="50">
        <f>(L81+O81)*(H81+N81)</f>
        <v>1894.1999999999998</v>
      </c>
      <c r="Q81" s="76">
        <f>I81*K81*3.5</f>
        <v>1.33056</v>
      </c>
      <c r="R81" s="294"/>
      <c r="S81" s="295"/>
      <c r="T81" s="292"/>
      <c r="U81" s="293"/>
    </row>
    <row r="82" spans="1:21" ht="75" x14ac:dyDescent="0.25">
      <c r="A82" s="316" t="s">
        <v>120</v>
      </c>
      <c r="B82" s="81"/>
      <c r="C82" s="82" t="s">
        <v>20</v>
      </c>
      <c r="D82" s="83" t="s">
        <v>2</v>
      </c>
      <c r="E82" s="84" t="s">
        <v>3</v>
      </c>
      <c r="F82" s="83" t="s">
        <v>4</v>
      </c>
      <c r="G82" s="83" t="s">
        <v>21</v>
      </c>
      <c r="H82" s="83" t="s">
        <v>22</v>
      </c>
      <c r="I82" s="85" t="s">
        <v>5</v>
      </c>
      <c r="J82" s="83" t="s">
        <v>6</v>
      </c>
      <c r="K82" s="83" t="s">
        <v>7</v>
      </c>
      <c r="L82" s="83" t="s">
        <v>8</v>
      </c>
      <c r="M82" s="83" t="s">
        <v>9</v>
      </c>
      <c r="N82" s="83" t="s">
        <v>36</v>
      </c>
      <c r="O82" s="83" t="s">
        <v>39</v>
      </c>
      <c r="P82" s="83" t="s">
        <v>40</v>
      </c>
      <c r="Q82" s="83" t="s">
        <v>15</v>
      </c>
      <c r="R82" s="86" t="s">
        <v>24</v>
      </c>
      <c r="S82" s="83" t="s">
        <v>25</v>
      </c>
      <c r="T82" s="83" t="s">
        <v>18</v>
      </c>
      <c r="U82" s="87" t="s">
        <v>26</v>
      </c>
    </row>
    <row r="83" spans="1:21" x14ac:dyDescent="0.25">
      <c r="A83" s="317"/>
      <c r="B83" s="80" t="s">
        <v>27</v>
      </c>
      <c r="C83" s="34">
        <v>100</v>
      </c>
      <c r="D83" s="35">
        <v>1</v>
      </c>
      <c r="E83" s="36">
        <f>C83/D83</f>
        <v>100</v>
      </c>
      <c r="F83" s="37">
        <v>1</v>
      </c>
      <c r="G83" s="37">
        <v>12</v>
      </c>
      <c r="H83" s="37">
        <f>(E83+F83)*G83</f>
        <v>1212</v>
      </c>
      <c r="I83" s="11">
        <f>H83/4</f>
        <v>303</v>
      </c>
      <c r="J83" s="72">
        <v>80</v>
      </c>
      <c r="K83" s="13">
        <f>0.64*0.9*J83/1000</f>
        <v>4.6080000000000003E-2</v>
      </c>
      <c r="L83" s="38">
        <v>3</v>
      </c>
      <c r="M83" s="39">
        <f>H83*L83</f>
        <v>3636</v>
      </c>
      <c r="N83" s="41">
        <f>M83*0.15</f>
        <v>545.4</v>
      </c>
      <c r="O83" s="79">
        <v>12</v>
      </c>
      <c r="P83" s="42">
        <f>(L83+O83)*H83+N83</f>
        <v>18725.400000000001</v>
      </c>
      <c r="Q83" s="75">
        <f>I83*K83*7+200</f>
        <v>297.73568</v>
      </c>
      <c r="R83" s="306">
        <f>C85*9+C85*80</f>
        <v>8900</v>
      </c>
      <c r="S83" s="307">
        <v>0.3</v>
      </c>
      <c r="T83" s="308">
        <f>(P83+P85+P84+R83)+((P83+P85+P84+R83)*S83)+(Q83+Q84+Q85)</f>
        <v>48390.957760000012</v>
      </c>
      <c r="U83" s="309">
        <f>T83/C85</f>
        <v>483.90957760000015</v>
      </c>
    </row>
    <row r="84" spans="1:21" x14ac:dyDescent="0.25">
      <c r="A84" s="317"/>
      <c r="B84" s="80" t="s">
        <v>28</v>
      </c>
      <c r="C84" s="34">
        <v>100</v>
      </c>
      <c r="D84" s="35">
        <v>1</v>
      </c>
      <c r="E84" s="36">
        <f>C84/D84</f>
        <v>100</v>
      </c>
      <c r="F84" s="37">
        <v>0</v>
      </c>
      <c r="G84" s="37">
        <v>1</v>
      </c>
      <c r="H84" s="37">
        <f>(E84+F84)*G84</f>
        <v>100</v>
      </c>
      <c r="I84" s="11">
        <f>H84/4</f>
        <v>25</v>
      </c>
      <c r="J84" s="72">
        <v>120</v>
      </c>
      <c r="K84" s="13">
        <f>0.64*0.9*J84/1000</f>
        <v>6.9120000000000001E-2</v>
      </c>
      <c r="L84" s="38">
        <v>3</v>
      </c>
      <c r="M84" s="39">
        <f>H84*L84</f>
        <v>300</v>
      </c>
      <c r="N84" s="41">
        <f>M84*0.15</f>
        <v>45</v>
      </c>
      <c r="O84" s="79">
        <v>0</v>
      </c>
      <c r="P84" s="42">
        <f>(L84+O84)*(H84+N84)</f>
        <v>435</v>
      </c>
      <c r="Q84" s="75">
        <f t="shared" ref="Q84:Q85" si="0">I84*K84*7</f>
        <v>12.096</v>
      </c>
      <c r="R84" s="275"/>
      <c r="S84" s="278"/>
      <c r="T84" s="262"/>
      <c r="U84" s="265"/>
    </row>
    <row r="85" spans="1:21" ht="15.75" thickBot="1" x14ac:dyDescent="0.3">
      <c r="A85" s="318"/>
      <c r="B85" s="88" t="s">
        <v>29</v>
      </c>
      <c r="C85" s="89">
        <v>100</v>
      </c>
      <c r="D85" s="43">
        <v>1</v>
      </c>
      <c r="E85" s="44">
        <f>C85/D85</f>
        <v>100</v>
      </c>
      <c r="F85" s="45">
        <v>2</v>
      </c>
      <c r="G85" s="45">
        <v>1</v>
      </c>
      <c r="H85" s="45">
        <f>(E85+F85)*G85</f>
        <v>102</v>
      </c>
      <c r="I85" s="90">
        <f>H85/4</f>
        <v>25.5</v>
      </c>
      <c r="J85" s="73">
        <v>130</v>
      </c>
      <c r="K85" s="58">
        <f>0.64*0.9*J85/1000</f>
        <v>7.4880000000000016E-2</v>
      </c>
      <c r="L85" s="46">
        <v>6</v>
      </c>
      <c r="M85" s="47">
        <f>H85*L85</f>
        <v>612</v>
      </c>
      <c r="N85" s="49">
        <f>M85*0.15</f>
        <v>91.8</v>
      </c>
      <c r="O85" s="91">
        <v>40</v>
      </c>
      <c r="P85" s="50">
        <f>(L85+O85)*(H85+N85)</f>
        <v>8914.8000000000011</v>
      </c>
      <c r="Q85" s="75">
        <f t="shared" si="0"/>
        <v>13.366080000000004</v>
      </c>
      <c r="R85" s="294"/>
      <c r="S85" s="295"/>
      <c r="T85" s="292"/>
      <c r="U85" s="293"/>
    </row>
    <row r="86" spans="1:21" ht="75" x14ac:dyDescent="0.25">
      <c r="A86" s="316" t="s">
        <v>121</v>
      </c>
      <c r="B86" s="81"/>
      <c r="C86" s="82" t="s">
        <v>20</v>
      </c>
      <c r="D86" s="83" t="s">
        <v>2</v>
      </c>
      <c r="E86" s="84" t="s">
        <v>3</v>
      </c>
      <c r="F86" s="83" t="s">
        <v>4</v>
      </c>
      <c r="G86" s="83" t="s">
        <v>21</v>
      </c>
      <c r="H86" s="83" t="s">
        <v>22</v>
      </c>
      <c r="I86" s="85" t="s">
        <v>5</v>
      </c>
      <c r="J86" s="83" t="s">
        <v>6</v>
      </c>
      <c r="K86" s="83" t="s">
        <v>7</v>
      </c>
      <c r="L86" s="83" t="s">
        <v>8</v>
      </c>
      <c r="M86" s="83" t="s">
        <v>9</v>
      </c>
      <c r="N86" s="83" t="s">
        <v>36</v>
      </c>
      <c r="O86" s="83" t="s">
        <v>39</v>
      </c>
      <c r="P86" s="83" t="s">
        <v>40</v>
      </c>
      <c r="Q86" s="83" t="s">
        <v>15</v>
      </c>
      <c r="R86" s="86" t="s">
        <v>24</v>
      </c>
      <c r="S86" s="83" t="s">
        <v>25</v>
      </c>
      <c r="T86" s="83" t="s">
        <v>18</v>
      </c>
      <c r="U86" s="87" t="s">
        <v>26</v>
      </c>
    </row>
    <row r="87" spans="1:21" x14ac:dyDescent="0.25">
      <c r="A87" s="317"/>
      <c r="B87" s="80" t="s">
        <v>27</v>
      </c>
      <c r="C87" s="34">
        <v>100</v>
      </c>
      <c r="D87" s="35">
        <v>1</v>
      </c>
      <c r="E87" s="36">
        <f>C87/D87</f>
        <v>100</v>
      </c>
      <c r="F87" s="37">
        <v>1</v>
      </c>
      <c r="G87" s="37">
        <v>12</v>
      </c>
      <c r="H87" s="37">
        <f>(E87+F87)*G87</f>
        <v>1212</v>
      </c>
      <c r="I87" s="11">
        <f>H87/4</f>
        <v>303</v>
      </c>
      <c r="J87" s="72">
        <v>80</v>
      </c>
      <c r="K87" s="13">
        <f>0.64*0.9*J87/1000</f>
        <v>4.6080000000000003E-2</v>
      </c>
      <c r="L87" s="38">
        <v>3</v>
      </c>
      <c r="M87" s="39">
        <f>H87*L87</f>
        <v>3636</v>
      </c>
      <c r="N87" s="41">
        <f>M87*0.15</f>
        <v>545.4</v>
      </c>
      <c r="O87" s="79">
        <v>12</v>
      </c>
      <c r="P87" s="42">
        <f>(L87+O87)*H87+N87</f>
        <v>18725.400000000001</v>
      </c>
      <c r="Q87" s="75">
        <f>I87*K87*7+200</f>
        <v>297.73568</v>
      </c>
      <c r="R87" s="306"/>
      <c r="S87" s="307">
        <v>0.2</v>
      </c>
      <c r="T87" s="308">
        <f>(P87+P89+P88+R87)+((P87+P89+P88+R87)*S87)+(Q87+Q88+Q89)</f>
        <v>43288.820479999995</v>
      </c>
      <c r="U87" s="309">
        <f>T87/C89</f>
        <v>432.88820479999993</v>
      </c>
    </row>
    <row r="88" spans="1:21" x14ac:dyDescent="0.25">
      <c r="A88" s="317"/>
      <c r="B88" s="80"/>
      <c r="C88" s="34">
        <v>0</v>
      </c>
      <c r="D88" s="35">
        <v>1</v>
      </c>
      <c r="E88" s="36">
        <f>C88/D88</f>
        <v>0</v>
      </c>
      <c r="F88" s="37">
        <v>0</v>
      </c>
      <c r="G88" s="37">
        <v>1</v>
      </c>
      <c r="H88" s="37">
        <f>(E88+F88)*G88</f>
        <v>0</v>
      </c>
      <c r="I88" s="11">
        <f>H88/4</f>
        <v>0</v>
      </c>
      <c r="J88" s="72">
        <v>0</v>
      </c>
      <c r="K88" s="13">
        <f>0.64*0.9*J88/1000</f>
        <v>0</v>
      </c>
      <c r="L88" s="38">
        <v>0</v>
      </c>
      <c r="M88" s="39">
        <f>H88*L88</f>
        <v>0</v>
      </c>
      <c r="N88" s="41">
        <f>M88*0.15</f>
        <v>0</v>
      </c>
      <c r="O88" s="79">
        <v>0</v>
      </c>
      <c r="P88" s="42">
        <f>(L88+O88)*(H88+N88)</f>
        <v>0</v>
      </c>
      <c r="Q88" s="75">
        <f t="shared" ref="Q88:Q89" si="1">I88*K88*7</f>
        <v>0</v>
      </c>
      <c r="R88" s="275"/>
      <c r="S88" s="278"/>
      <c r="T88" s="262"/>
      <c r="U88" s="265"/>
    </row>
    <row r="89" spans="1:21" ht="15.75" thickBot="1" x14ac:dyDescent="0.3">
      <c r="A89" s="318"/>
      <c r="B89" s="88" t="s">
        <v>29</v>
      </c>
      <c r="C89" s="89">
        <v>100</v>
      </c>
      <c r="D89" s="43">
        <v>1</v>
      </c>
      <c r="E89" s="44">
        <f>C89/D89</f>
        <v>100</v>
      </c>
      <c r="F89" s="45">
        <v>2</v>
      </c>
      <c r="G89" s="45">
        <v>1</v>
      </c>
      <c r="H89" s="45">
        <f>(E89+F89)*G89</f>
        <v>102</v>
      </c>
      <c r="I89" s="90">
        <f>H89/4</f>
        <v>25.5</v>
      </c>
      <c r="J89" s="73">
        <v>300</v>
      </c>
      <c r="K89" s="58">
        <f>0.64*0.9*J89/1000</f>
        <v>0.17280000000000001</v>
      </c>
      <c r="L89" s="46">
        <v>14</v>
      </c>
      <c r="M89" s="47">
        <f>H89*L89</f>
        <v>1428</v>
      </c>
      <c r="N89" s="49">
        <f>M89*0.15</f>
        <v>214.2</v>
      </c>
      <c r="O89" s="91">
        <v>40</v>
      </c>
      <c r="P89" s="50">
        <f>(L89+O89)*(H89+N89)</f>
        <v>17074.8</v>
      </c>
      <c r="Q89" s="75">
        <f t="shared" si="1"/>
        <v>30.844800000000003</v>
      </c>
      <c r="R89" s="294"/>
      <c r="S89" s="295"/>
      <c r="T89" s="292"/>
      <c r="U89" s="293"/>
    </row>
    <row r="90" spans="1:21" ht="75" x14ac:dyDescent="0.25">
      <c r="A90" s="316" t="s">
        <v>121</v>
      </c>
      <c r="B90" s="81"/>
      <c r="C90" s="82" t="s">
        <v>20</v>
      </c>
      <c r="D90" s="83" t="s">
        <v>2</v>
      </c>
      <c r="E90" s="84" t="s">
        <v>3</v>
      </c>
      <c r="F90" s="83" t="s">
        <v>4</v>
      </c>
      <c r="G90" s="83" t="s">
        <v>21</v>
      </c>
      <c r="H90" s="83" t="s">
        <v>22</v>
      </c>
      <c r="I90" s="85" t="s">
        <v>5</v>
      </c>
      <c r="J90" s="83" t="s">
        <v>6</v>
      </c>
      <c r="K90" s="83" t="s">
        <v>7</v>
      </c>
      <c r="L90" s="83" t="s">
        <v>8</v>
      </c>
      <c r="M90" s="83" t="s">
        <v>9</v>
      </c>
      <c r="N90" s="83" t="s">
        <v>36</v>
      </c>
      <c r="O90" s="83" t="s">
        <v>39</v>
      </c>
      <c r="P90" s="83" t="s">
        <v>40</v>
      </c>
      <c r="Q90" s="83" t="s">
        <v>15</v>
      </c>
      <c r="R90" s="86" t="s">
        <v>24</v>
      </c>
      <c r="S90" s="83" t="s">
        <v>25</v>
      </c>
      <c r="T90" s="83" t="s">
        <v>18</v>
      </c>
      <c r="U90" s="87" t="s">
        <v>26</v>
      </c>
    </row>
    <row r="91" spans="1:21" x14ac:dyDescent="0.25">
      <c r="A91" s="317"/>
      <c r="B91" s="80" t="s">
        <v>27</v>
      </c>
      <c r="C91" s="34">
        <v>3</v>
      </c>
      <c r="D91" s="35">
        <v>1</v>
      </c>
      <c r="E91" s="36">
        <f>C91/D91</f>
        <v>3</v>
      </c>
      <c r="F91" s="37">
        <v>1</v>
      </c>
      <c r="G91" s="37">
        <v>1</v>
      </c>
      <c r="H91" s="37">
        <f>(E91+F91)*G91</f>
        <v>4</v>
      </c>
      <c r="I91" s="11">
        <f>H91/4</f>
        <v>1</v>
      </c>
      <c r="J91" s="72">
        <v>250</v>
      </c>
      <c r="K91" s="13">
        <f>0.64*0.9*J91/1000</f>
        <v>0.14400000000000002</v>
      </c>
      <c r="L91" s="38">
        <v>28</v>
      </c>
      <c r="M91" s="39">
        <f>H91*L91</f>
        <v>112</v>
      </c>
      <c r="N91" s="41">
        <f>M91*0.15</f>
        <v>16.8</v>
      </c>
      <c r="O91" s="79">
        <v>25</v>
      </c>
      <c r="P91" s="42">
        <f>(L91+O91)*H91+N91</f>
        <v>228.8</v>
      </c>
      <c r="Q91" s="75">
        <f>I91*K91*7+250</f>
        <v>251.00800000000001</v>
      </c>
      <c r="R91" s="306"/>
      <c r="S91" s="307">
        <v>0.2</v>
      </c>
      <c r="T91" s="308">
        <f>(P91+P93+P92+R91)+((P91+P93+P92+R91)*S91)+(Q91+Q92+Q93)</f>
        <v>840.96112000000005</v>
      </c>
      <c r="U91" s="309">
        <f>T91/C93</f>
        <v>840.96112000000005</v>
      </c>
    </row>
    <row r="92" spans="1:21" x14ac:dyDescent="0.25">
      <c r="A92" s="317"/>
      <c r="B92" s="80"/>
      <c r="C92" s="34">
        <v>0</v>
      </c>
      <c r="D92" s="35">
        <v>1</v>
      </c>
      <c r="E92" s="36">
        <f>C92/D92</f>
        <v>0</v>
      </c>
      <c r="F92" s="37">
        <v>0</v>
      </c>
      <c r="G92" s="37">
        <v>1</v>
      </c>
      <c r="H92" s="37">
        <f>(E92+F92)*G92</f>
        <v>0</v>
      </c>
      <c r="I92" s="11">
        <f>H92/4</f>
        <v>0</v>
      </c>
      <c r="J92" s="72">
        <v>0</v>
      </c>
      <c r="K92" s="13">
        <f>0.64*0.9*J92/1000</f>
        <v>0</v>
      </c>
      <c r="L92" s="38">
        <v>0</v>
      </c>
      <c r="M92" s="39">
        <f>H92*L92</f>
        <v>0</v>
      </c>
      <c r="N92" s="41">
        <f>M92*0.15</f>
        <v>0</v>
      </c>
      <c r="O92" s="79">
        <v>0</v>
      </c>
      <c r="P92" s="42">
        <f>(L92+O92)*(H92+N92)</f>
        <v>0</v>
      </c>
      <c r="Q92" s="75">
        <f t="shared" ref="Q92:Q93" si="2">I92*K92*7</f>
        <v>0</v>
      </c>
      <c r="R92" s="275"/>
      <c r="S92" s="278"/>
      <c r="T92" s="262"/>
      <c r="U92" s="265"/>
    </row>
    <row r="93" spans="1:21" ht="15.75" thickBot="1" x14ac:dyDescent="0.3">
      <c r="A93" s="318"/>
      <c r="B93" s="88" t="s">
        <v>29</v>
      </c>
      <c r="C93" s="89">
        <v>1</v>
      </c>
      <c r="D93" s="43">
        <v>1</v>
      </c>
      <c r="E93" s="44">
        <f>C93/D93</f>
        <v>1</v>
      </c>
      <c r="F93" s="45">
        <v>2</v>
      </c>
      <c r="G93" s="45">
        <v>1</v>
      </c>
      <c r="H93" s="45">
        <f>(E93+F93)*G93</f>
        <v>3</v>
      </c>
      <c r="I93" s="90">
        <f>H93/4</f>
        <v>0.75</v>
      </c>
      <c r="J93" s="73">
        <v>130</v>
      </c>
      <c r="K93" s="58">
        <f>0.64*0.9*J93/1000</f>
        <v>7.4880000000000016E-2</v>
      </c>
      <c r="L93" s="46">
        <v>10</v>
      </c>
      <c r="M93" s="47">
        <f>H93*L93</f>
        <v>30</v>
      </c>
      <c r="N93" s="49">
        <f>M93*0.15</f>
        <v>4.5</v>
      </c>
      <c r="O93" s="91">
        <v>25</v>
      </c>
      <c r="P93" s="50">
        <f>(L93+O93)*(H93+N93)</f>
        <v>262.5</v>
      </c>
      <c r="Q93" s="75">
        <f t="shared" si="2"/>
        <v>0.39312000000000014</v>
      </c>
      <c r="R93" s="294"/>
      <c r="S93" s="295"/>
      <c r="T93" s="292"/>
      <c r="U93" s="293"/>
    </row>
    <row r="94" spans="1:21" ht="75" x14ac:dyDescent="0.25">
      <c r="A94" s="316" t="s">
        <v>123</v>
      </c>
      <c r="B94" s="81"/>
      <c r="C94" s="82" t="s">
        <v>20</v>
      </c>
      <c r="D94" s="83" t="s">
        <v>2</v>
      </c>
      <c r="E94" s="84" t="s">
        <v>3</v>
      </c>
      <c r="F94" s="83" t="s">
        <v>4</v>
      </c>
      <c r="G94" s="83" t="s">
        <v>21</v>
      </c>
      <c r="H94" s="83" t="s">
        <v>22</v>
      </c>
      <c r="I94" s="85" t="s">
        <v>5</v>
      </c>
      <c r="J94" s="83" t="s">
        <v>6</v>
      </c>
      <c r="K94" s="83" t="s">
        <v>7</v>
      </c>
      <c r="L94" s="83" t="s">
        <v>8</v>
      </c>
      <c r="M94" s="83" t="s">
        <v>9</v>
      </c>
      <c r="N94" s="83" t="s">
        <v>36</v>
      </c>
      <c r="O94" s="83" t="s">
        <v>39</v>
      </c>
      <c r="P94" s="83" t="s">
        <v>40</v>
      </c>
      <c r="Q94" s="83" t="s">
        <v>15</v>
      </c>
      <c r="R94" s="86" t="s">
        <v>24</v>
      </c>
      <c r="S94" s="83" t="s">
        <v>25</v>
      </c>
      <c r="T94" s="83" t="s">
        <v>18</v>
      </c>
      <c r="U94" s="87" t="s">
        <v>26</v>
      </c>
    </row>
    <row r="95" spans="1:21" x14ac:dyDescent="0.25">
      <c r="A95" s="317"/>
      <c r="B95" s="80" t="s">
        <v>27</v>
      </c>
      <c r="C95" s="34">
        <v>1</v>
      </c>
      <c r="D95" s="35">
        <v>1</v>
      </c>
      <c r="E95" s="36">
        <f>C95/D95</f>
        <v>1</v>
      </c>
      <c r="F95" s="37">
        <v>0</v>
      </c>
      <c r="G95" s="37">
        <v>3</v>
      </c>
      <c r="H95" s="37">
        <f>(E95+F95)*G95</f>
        <v>3</v>
      </c>
      <c r="I95" s="11">
        <f>H95/4</f>
        <v>0.75</v>
      </c>
      <c r="J95" s="72">
        <v>250</v>
      </c>
      <c r="K95" s="13">
        <f>0.64*0.9*J95/1000</f>
        <v>0.14400000000000002</v>
      </c>
      <c r="L95" s="38">
        <v>28</v>
      </c>
      <c r="M95" s="39">
        <f>H95*L95</f>
        <v>84</v>
      </c>
      <c r="N95" s="41">
        <f>M95*0.15</f>
        <v>12.6</v>
      </c>
      <c r="O95" s="79">
        <v>40</v>
      </c>
      <c r="P95" s="42">
        <f>(L95+O95)*H95+N95</f>
        <v>216.6</v>
      </c>
      <c r="Q95" s="75">
        <f>I95*K95*7+250</f>
        <v>250.756</v>
      </c>
      <c r="R95" s="306"/>
      <c r="S95" s="307">
        <v>0.5</v>
      </c>
      <c r="T95" s="308">
        <f>(P95+P97+P96+R95)+((P95+P97+P96+R95)*S95)+(Q95+Q96+Q97)</f>
        <v>763.28704000000016</v>
      </c>
      <c r="U95" s="309">
        <f>T95/C97</f>
        <v>763.28704000000016</v>
      </c>
    </row>
    <row r="96" spans="1:21" x14ac:dyDescent="0.25">
      <c r="A96" s="317"/>
      <c r="B96" s="80"/>
      <c r="C96" s="34">
        <v>0</v>
      </c>
      <c r="D96" s="35">
        <v>1</v>
      </c>
      <c r="E96" s="36">
        <f>C96/D96</f>
        <v>0</v>
      </c>
      <c r="F96" s="37">
        <v>0</v>
      </c>
      <c r="G96" s="37">
        <v>0</v>
      </c>
      <c r="H96" s="37">
        <f>(E96+F96)*G96</f>
        <v>0</v>
      </c>
      <c r="I96" s="11">
        <f>H96/4</f>
        <v>0</v>
      </c>
      <c r="J96" s="72">
        <v>0</v>
      </c>
      <c r="K96" s="13">
        <f>0.64*0.9*J96/1000</f>
        <v>0</v>
      </c>
      <c r="L96" s="38">
        <v>0</v>
      </c>
      <c r="M96" s="39">
        <f>H96*L96</f>
        <v>0</v>
      </c>
      <c r="N96" s="41">
        <f>M96*0.15</f>
        <v>0</v>
      </c>
      <c r="O96" s="79">
        <v>0</v>
      </c>
      <c r="P96" s="42">
        <f>(L96+O96)*(H96+N96)</f>
        <v>0</v>
      </c>
      <c r="Q96" s="75">
        <f t="shared" ref="Q96:Q97" si="3">I96*K96*7</f>
        <v>0</v>
      </c>
      <c r="R96" s="275"/>
      <c r="S96" s="278"/>
      <c r="T96" s="262"/>
      <c r="U96" s="265"/>
    </row>
    <row r="97" spans="1:22" ht="15.75" thickBot="1" x14ac:dyDescent="0.3">
      <c r="A97" s="318"/>
      <c r="B97" s="88" t="s">
        <v>29</v>
      </c>
      <c r="C97" s="89">
        <v>1</v>
      </c>
      <c r="D97" s="43">
        <v>1</v>
      </c>
      <c r="E97" s="44">
        <f>C97/D97</f>
        <v>1</v>
      </c>
      <c r="F97" s="45">
        <v>0</v>
      </c>
      <c r="G97" s="45">
        <v>1</v>
      </c>
      <c r="H97" s="45">
        <f>(E97+F97)*G97</f>
        <v>1</v>
      </c>
      <c r="I97" s="90">
        <f>H97/4</f>
        <v>0.25</v>
      </c>
      <c r="J97" s="73">
        <v>130</v>
      </c>
      <c r="K97" s="58">
        <f>0.64*0.9*J97/1000</f>
        <v>7.4880000000000016E-2</v>
      </c>
      <c r="L97" s="46">
        <v>10</v>
      </c>
      <c r="M97" s="47">
        <f>H97*L97</f>
        <v>10</v>
      </c>
      <c r="N97" s="49">
        <f>M97*0.15</f>
        <v>1.5</v>
      </c>
      <c r="O97" s="91">
        <v>40</v>
      </c>
      <c r="P97" s="50">
        <f>(L97+O97)*(H97+N97)</f>
        <v>125</v>
      </c>
      <c r="Q97" s="75">
        <f t="shared" si="3"/>
        <v>0.13104000000000002</v>
      </c>
      <c r="R97" s="294"/>
      <c r="S97" s="295"/>
      <c r="T97" s="292"/>
      <c r="U97" s="293"/>
    </row>
    <row r="99" spans="1:22" x14ac:dyDescent="0.25">
      <c r="A99" s="8"/>
      <c r="B99" s="8"/>
      <c r="C99" s="8"/>
      <c r="D99" s="8"/>
    </row>
    <row r="100" spans="1:22" x14ac:dyDescent="0.25">
      <c r="A100" s="8"/>
      <c r="B100" s="8"/>
      <c r="C100" s="8"/>
      <c r="D100" s="8"/>
    </row>
    <row r="101" spans="1:22" x14ac:dyDescent="0.25">
      <c r="A101" s="8"/>
      <c r="B101" s="8"/>
      <c r="C101" s="8"/>
      <c r="D101" s="8"/>
    </row>
    <row r="107" spans="1:22" ht="15.75" thickBot="1" x14ac:dyDescent="0.3"/>
    <row r="108" spans="1:22" ht="78.75" customHeight="1" x14ac:dyDescent="0.25">
      <c r="A108" s="303" t="s">
        <v>124</v>
      </c>
      <c r="B108" s="81"/>
      <c r="C108" s="82" t="s">
        <v>20</v>
      </c>
      <c r="D108" s="83" t="s">
        <v>2</v>
      </c>
      <c r="E108" s="84" t="s">
        <v>3</v>
      </c>
      <c r="F108" s="83" t="s">
        <v>4</v>
      </c>
      <c r="G108" s="83" t="s">
        <v>21</v>
      </c>
      <c r="H108" s="83" t="s">
        <v>22</v>
      </c>
      <c r="I108" s="85" t="s">
        <v>5</v>
      </c>
      <c r="J108" s="83" t="s">
        <v>6</v>
      </c>
      <c r="K108" s="83" t="s">
        <v>7</v>
      </c>
      <c r="L108" s="83" t="s">
        <v>8</v>
      </c>
      <c r="M108" s="83" t="s">
        <v>9</v>
      </c>
      <c r="N108" s="83" t="s">
        <v>36</v>
      </c>
      <c r="O108" s="83" t="s">
        <v>39</v>
      </c>
      <c r="P108" s="83" t="s">
        <v>40</v>
      </c>
      <c r="Q108" s="83" t="s">
        <v>15</v>
      </c>
      <c r="R108" s="86" t="s">
        <v>24</v>
      </c>
      <c r="S108" s="83" t="s">
        <v>25</v>
      </c>
      <c r="T108" s="83" t="s">
        <v>18</v>
      </c>
      <c r="U108" s="87" t="s">
        <v>26</v>
      </c>
    </row>
    <row r="109" spans="1:22" x14ac:dyDescent="0.25">
      <c r="A109" s="304"/>
      <c r="B109" s="80" t="s">
        <v>27</v>
      </c>
      <c r="C109" s="34">
        <v>27</v>
      </c>
      <c r="D109" s="35">
        <v>1</v>
      </c>
      <c r="E109" s="36">
        <f>C109/D109</f>
        <v>27</v>
      </c>
      <c r="F109" s="37">
        <v>2</v>
      </c>
      <c r="G109" s="37">
        <v>10</v>
      </c>
      <c r="H109" s="37">
        <f>(E109+F109)*G109</f>
        <v>290</v>
      </c>
      <c r="I109" s="11">
        <f>H109/4</f>
        <v>72.5</v>
      </c>
      <c r="J109" s="72">
        <v>130</v>
      </c>
      <c r="K109" s="13">
        <f>0.64*0.9*J109/1000</f>
        <v>7.4880000000000016E-2</v>
      </c>
      <c r="L109" s="38">
        <v>5</v>
      </c>
      <c r="M109" s="39">
        <f>H109*L109</f>
        <v>1450</v>
      </c>
      <c r="N109" s="41">
        <f>M109*0.2</f>
        <v>290</v>
      </c>
      <c r="O109" s="79">
        <v>50</v>
      </c>
      <c r="P109" s="42">
        <f>(L109+O109)*H109+N109</f>
        <v>16240</v>
      </c>
      <c r="Q109" s="75">
        <f>I109*K109*9+250</f>
        <v>298.85919999999999</v>
      </c>
      <c r="R109" s="306">
        <f>C109*0.4*2+E109*9</f>
        <v>264.60000000000002</v>
      </c>
      <c r="S109" s="307">
        <v>0.3</v>
      </c>
      <c r="T109" s="308">
        <f>(P109+P111+P110+R109)+((P109+P111+P110+R109)*S109)+(Q109+Q110+Q111)</f>
        <v>30932.875199999995</v>
      </c>
      <c r="U109" s="309">
        <f>T109/C111</f>
        <v>1145.6620444444443</v>
      </c>
    </row>
    <row r="110" spans="1:22" x14ac:dyDescent="0.25">
      <c r="A110" s="304"/>
      <c r="B110" s="80"/>
      <c r="C110" s="34">
        <v>0</v>
      </c>
      <c r="D110" s="35">
        <v>1</v>
      </c>
      <c r="E110" s="36">
        <f>C110/D110</f>
        <v>0</v>
      </c>
      <c r="F110" s="37">
        <v>0</v>
      </c>
      <c r="G110" s="37">
        <v>1</v>
      </c>
      <c r="H110" s="37">
        <f>(E110+F110)*G110</f>
        <v>0</v>
      </c>
      <c r="I110" s="11">
        <f>H110/4</f>
        <v>0</v>
      </c>
      <c r="J110" s="72">
        <v>0</v>
      </c>
      <c r="K110" s="13">
        <f>0.64*0.9*J110/1000</f>
        <v>0</v>
      </c>
      <c r="L110" s="38">
        <v>0</v>
      </c>
      <c r="M110" s="39">
        <f>H110*L110</f>
        <v>0</v>
      </c>
      <c r="N110" s="41">
        <f>M110*0.2</f>
        <v>0</v>
      </c>
      <c r="O110" s="79">
        <v>0</v>
      </c>
      <c r="P110" s="42">
        <f>(L110+O110)*(H110+N110)</f>
        <v>0</v>
      </c>
      <c r="Q110" s="75">
        <f t="shared" ref="Q110" si="4">I110*K110*7</f>
        <v>0</v>
      </c>
      <c r="R110" s="275"/>
      <c r="S110" s="278"/>
      <c r="T110" s="262"/>
      <c r="U110" s="265"/>
      <c r="V110" t="s">
        <v>125</v>
      </c>
    </row>
    <row r="111" spans="1:22" ht="15.75" thickBot="1" x14ac:dyDescent="0.3">
      <c r="A111" s="305"/>
      <c r="B111" s="88" t="s">
        <v>29</v>
      </c>
      <c r="C111" s="89">
        <v>27</v>
      </c>
      <c r="D111" s="43">
        <v>1</v>
      </c>
      <c r="E111" s="44">
        <f>C111/D111</f>
        <v>27</v>
      </c>
      <c r="F111" s="45">
        <v>2</v>
      </c>
      <c r="G111" s="45">
        <v>1</v>
      </c>
      <c r="H111" s="45">
        <f>(E111+F111)*G111</f>
        <v>29</v>
      </c>
      <c r="I111" s="90">
        <f>H111/4</f>
        <v>7.25</v>
      </c>
      <c r="J111" s="73">
        <v>250</v>
      </c>
      <c r="K111" s="58">
        <f>0.64*0.9*J111/1000</f>
        <v>0.14400000000000002</v>
      </c>
      <c r="L111" s="46">
        <v>14</v>
      </c>
      <c r="M111" s="47">
        <f>H111*L111</f>
        <v>406</v>
      </c>
      <c r="N111" s="49">
        <f>M111*0.2</f>
        <v>81.2</v>
      </c>
      <c r="O111" s="91">
        <v>50</v>
      </c>
      <c r="P111" s="50">
        <f>(L111+O111)*(H111+N111)</f>
        <v>7052.8</v>
      </c>
      <c r="Q111" s="76">
        <f>I111*K111*9</f>
        <v>9.3960000000000008</v>
      </c>
      <c r="R111" s="294"/>
      <c r="S111" s="295"/>
      <c r="T111" s="292"/>
      <c r="U111" s="293"/>
    </row>
    <row r="112" spans="1:22" ht="15.75" thickBot="1" x14ac:dyDescent="0.3"/>
    <row r="113" spans="1:21" ht="81.75" customHeight="1" x14ac:dyDescent="0.25">
      <c r="A113" s="303" t="s">
        <v>126</v>
      </c>
      <c r="B113" s="81"/>
      <c r="C113" s="82" t="s">
        <v>20</v>
      </c>
      <c r="D113" s="83" t="s">
        <v>2</v>
      </c>
      <c r="E113" s="84" t="s">
        <v>3</v>
      </c>
      <c r="F113" s="83" t="s">
        <v>4</v>
      </c>
      <c r="G113" s="83" t="s">
        <v>21</v>
      </c>
      <c r="H113" s="83" t="s">
        <v>22</v>
      </c>
      <c r="I113" s="85" t="s">
        <v>5</v>
      </c>
      <c r="J113" s="83" t="s">
        <v>6</v>
      </c>
      <c r="K113" s="83" t="s">
        <v>7</v>
      </c>
      <c r="L113" s="83" t="s">
        <v>8</v>
      </c>
      <c r="M113" s="83" t="s">
        <v>9</v>
      </c>
      <c r="N113" s="83" t="s">
        <v>36</v>
      </c>
      <c r="O113" s="83" t="s">
        <v>39</v>
      </c>
      <c r="P113" s="83" t="s">
        <v>40</v>
      </c>
      <c r="Q113" s="83" t="s">
        <v>15</v>
      </c>
      <c r="R113" s="86" t="s">
        <v>24</v>
      </c>
      <c r="S113" s="83" t="s">
        <v>25</v>
      </c>
      <c r="T113" s="83" t="s">
        <v>18</v>
      </c>
      <c r="U113" s="87" t="s">
        <v>26</v>
      </c>
    </row>
    <row r="114" spans="1:21" x14ac:dyDescent="0.25">
      <c r="A114" s="304"/>
      <c r="B114" s="80" t="s">
        <v>27</v>
      </c>
      <c r="C114" s="34">
        <v>30</v>
      </c>
      <c r="D114" s="35">
        <v>1</v>
      </c>
      <c r="E114" s="36">
        <f>C114/D114</f>
        <v>30</v>
      </c>
      <c r="F114" s="37">
        <v>0</v>
      </c>
      <c r="G114" s="37">
        <v>4</v>
      </c>
      <c r="H114" s="37">
        <f>(E114+F114)*G114</f>
        <v>120</v>
      </c>
      <c r="I114" s="11">
        <f>H114/4</f>
        <v>30</v>
      </c>
      <c r="J114" s="72">
        <v>150</v>
      </c>
      <c r="K114" s="13">
        <f>0.64*0.9*J114/1000</f>
        <v>8.6400000000000005E-2</v>
      </c>
      <c r="L114" s="38">
        <v>12</v>
      </c>
      <c r="M114" s="39">
        <f>H114*L114</f>
        <v>1440</v>
      </c>
      <c r="N114" s="41">
        <f>M114*0.2</f>
        <v>288</v>
      </c>
      <c r="O114" s="79">
        <v>100</v>
      </c>
      <c r="P114" s="42">
        <f>(L114+O114)*H114+N114</f>
        <v>13728</v>
      </c>
      <c r="Q114" s="75">
        <f>I114*K114*9+250</f>
        <v>273.32799999999997</v>
      </c>
      <c r="R114" s="306">
        <f>E116*18+0.23*2*30+1000</f>
        <v>1553.8</v>
      </c>
      <c r="S114" s="307">
        <v>0.2</v>
      </c>
      <c r="T114" s="308">
        <f>(P114+P116+P115+R114)+((P114+P116+P115+R114)*S114)+(Q114+Q115+Q116)</f>
        <v>23430.807999999997</v>
      </c>
      <c r="U114" s="309">
        <f>T114/C116</f>
        <v>781.0269333333332</v>
      </c>
    </row>
    <row r="115" spans="1:21" x14ac:dyDescent="0.25">
      <c r="A115" s="304"/>
      <c r="B115" s="80"/>
      <c r="C115" s="34">
        <v>0</v>
      </c>
      <c r="D115" s="35">
        <v>1</v>
      </c>
      <c r="E115" s="36">
        <f>C115/D115</f>
        <v>0</v>
      </c>
      <c r="F115" s="37">
        <v>0</v>
      </c>
      <c r="G115" s="37">
        <v>0</v>
      </c>
      <c r="H115" s="37">
        <f>(E115+F115)*G115</f>
        <v>0</v>
      </c>
      <c r="I115" s="11">
        <f>H115/4</f>
        <v>0</v>
      </c>
      <c r="J115" s="72">
        <v>0</v>
      </c>
      <c r="K115" s="13">
        <f>0.64*0.9*J115/1000</f>
        <v>0</v>
      </c>
      <c r="L115" s="38">
        <v>0</v>
      </c>
      <c r="M115" s="39">
        <v>0</v>
      </c>
      <c r="N115" s="41">
        <f>M115*0.2</f>
        <v>0</v>
      </c>
      <c r="O115" s="79">
        <v>0</v>
      </c>
      <c r="P115" s="42">
        <f>(L115+O115)*H115+N115</f>
        <v>0</v>
      </c>
      <c r="Q115" s="75">
        <f t="shared" ref="Q115" si="5">I115*K115*7</f>
        <v>0</v>
      </c>
      <c r="R115" s="275"/>
      <c r="S115" s="278"/>
      <c r="T115" s="262"/>
      <c r="U115" s="265"/>
    </row>
    <row r="116" spans="1:21" ht="15.75" thickBot="1" x14ac:dyDescent="0.3">
      <c r="A116" s="305"/>
      <c r="B116" s="88" t="s">
        <v>29</v>
      </c>
      <c r="C116" s="89">
        <v>30</v>
      </c>
      <c r="D116" s="43">
        <v>1</v>
      </c>
      <c r="E116" s="44">
        <f>C116/D116</f>
        <v>30</v>
      </c>
      <c r="F116" s="45">
        <v>0</v>
      </c>
      <c r="G116" s="45">
        <v>1</v>
      </c>
      <c r="H116" s="45">
        <f>(E116+F116)*G116</f>
        <v>30</v>
      </c>
      <c r="I116" s="90">
        <f>H116/4</f>
        <v>7.5</v>
      </c>
      <c r="J116" s="73">
        <v>250</v>
      </c>
      <c r="K116" s="58">
        <f>0.64*0.9*J116/1000</f>
        <v>0.14400000000000002</v>
      </c>
      <c r="L116" s="46">
        <v>28</v>
      </c>
      <c r="M116" s="47">
        <f>H116*L116</f>
        <v>840</v>
      </c>
      <c r="N116" s="49">
        <f>M116*0.2</f>
        <v>168</v>
      </c>
      <c r="O116" s="91">
        <v>100</v>
      </c>
      <c r="P116" s="50">
        <f>(L116+O116)*H116+N116</f>
        <v>4008</v>
      </c>
      <c r="Q116" s="76">
        <f>I116*K116*9</f>
        <v>9.7200000000000006</v>
      </c>
      <c r="R116" s="294"/>
      <c r="S116" s="295"/>
      <c r="T116" s="292"/>
      <c r="U116" s="293"/>
    </row>
    <row r="117" spans="1:21" ht="15.75" thickBot="1" x14ac:dyDescent="0.3"/>
    <row r="118" spans="1:21" ht="75" x14ac:dyDescent="0.25">
      <c r="A118" s="303" t="s">
        <v>127</v>
      </c>
      <c r="B118" s="81"/>
      <c r="C118" s="82" t="s">
        <v>20</v>
      </c>
      <c r="D118" s="83" t="s">
        <v>2</v>
      </c>
      <c r="E118" s="84" t="s">
        <v>3</v>
      </c>
      <c r="F118" s="83" t="s">
        <v>4</v>
      </c>
      <c r="G118" s="83" t="s">
        <v>21</v>
      </c>
      <c r="H118" s="83" t="s">
        <v>22</v>
      </c>
      <c r="I118" s="85" t="s">
        <v>5</v>
      </c>
      <c r="J118" s="83" t="s">
        <v>6</v>
      </c>
      <c r="K118" s="83" t="s">
        <v>7</v>
      </c>
      <c r="L118" s="83" t="s">
        <v>8</v>
      </c>
      <c r="M118" s="83" t="s">
        <v>9</v>
      </c>
      <c r="N118" s="83" t="s">
        <v>36</v>
      </c>
      <c r="O118" s="83" t="s">
        <v>39</v>
      </c>
      <c r="P118" s="83" t="s">
        <v>40</v>
      </c>
      <c r="Q118" s="83" t="s">
        <v>15</v>
      </c>
      <c r="R118" s="86" t="s">
        <v>24</v>
      </c>
      <c r="S118" s="83" t="s">
        <v>25</v>
      </c>
      <c r="T118" s="83" t="s">
        <v>18</v>
      </c>
      <c r="U118" s="87" t="s">
        <v>26</v>
      </c>
    </row>
    <row r="119" spans="1:21" x14ac:dyDescent="0.25">
      <c r="A119" s="304"/>
      <c r="B119" s="80" t="s">
        <v>27</v>
      </c>
      <c r="C119" s="34">
        <v>1</v>
      </c>
      <c r="D119" s="35">
        <v>1</v>
      </c>
      <c r="E119" s="36">
        <f>C119/D119</f>
        <v>1</v>
      </c>
      <c r="F119" s="37">
        <v>0</v>
      </c>
      <c r="G119" s="37">
        <v>8</v>
      </c>
      <c r="H119" s="37">
        <f>(E119+F119)*G119</f>
        <v>8</v>
      </c>
      <c r="I119" s="11">
        <f>H119/4</f>
        <v>2</v>
      </c>
      <c r="J119" s="72">
        <v>150</v>
      </c>
      <c r="K119" s="13">
        <f>0.64*0.9*J119/1000</f>
        <v>8.6400000000000005E-2</v>
      </c>
      <c r="L119" s="38">
        <v>6</v>
      </c>
      <c r="M119" s="39">
        <f>H119*L119</f>
        <v>48</v>
      </c>
      <c r="N119" s="41">
        <f>M119*0.2</f>
        <v>9.6000000000000014</v>
      </c>
      <c r="O119" s="79">
        <v>50</v>
      </c>
      <c r="P119" s="42">
        <f>(L119+O119)*H119+N119</f>
        <v>457.6</v>
      </c>
      <c r="Q119" s="75">
        <f>I119*K119*9+250</f>
        <v>251.55520000000001</v>
      </c>
      <c r="R119" s="306">
        <f>E121*9+C119*100+200</f>
        <v>309</v>
      </c>
      <c r="S119" s="307">
        <v>0.3</v>
      </c>
      <c r="T119" s="308">
        <f>(P119+P121+P120+R119)+((P119+P121+P120+R119)*S119)+(Q119+Q120+Q121)</f>
        <v>1339.42464</v>
      </c>
      <c r="U119" s="309">
        <f>T119/C121</f>
        <v>1339.42464</v>
      </c>
    </row>
    <row r="120" spans="1:21" x14ac:dyDescent="0.25">
      <c r="A120" s="304"/>
      <c r="B120" s="80" t="s">
        <v>28</v>
      </c>
      <c r="C120" s="34">
        <v>1</v>
      </c>
      <c r="D120" s="35">
        <v>1</v>
      </c>
      <c r="E120" s="36">
        <f>C120/D120</f>
        <v>1</v>
      </c>
      <c r="F120" s="37">
        <v>0</v>
      </c>
      <c r="G120" s="37">
        <v>1</v>
      </c>
      <c r="H120" s="37">
        <f>(E120+F120)*G120</f>
        <v>1</v>
      </c>
      <c r="I120" s="11">
        <f>H120/4</f>
        <v>0.25</v>
      </c>
      <c r="J120" s="72">
        <v>120</v>
      </c>
      <c r="K120" s="13">
        <f>0.64*0.9*J120/1000</f>
        <v>6.9120000000000001E-2</v>
      </c>
      <c r="L120" s="38">
        <v>5</v>
      </c>
      <c r="M120" s="39">
        <f>H120*L120</f>
        <v>5</v>
      </c>
      <c r="N120" s="41">
        <f>M120*0.2</f>
        <v>1</v>
      </c>
      <c r="O120" s="79">
        <v>0</v>
      </c>
      <c r="P120" s="42">
        <f>(L120+O120)*(H120+N120)</f>
        <v>10</v>
      </c>
      <c r="Q120" s="75">
        <f t="shared" ref="Q120" si="6">I120*K120*7</f>
        <v>0.12096</v>
      </c>
      <c r="R120" s="275"/>
      <c r="S120" s="278"/>
      <c r="T120" s="262"/>
      <c r="U120" s="265"/>
    </row>
    <row r="121" spans="1:21" ht="15.75" thickBot="1" x14ac:dyDescent="0.3">
      <c r="A121" s="305"/>
      <c r="B121" s="88" t="s">
        <v>29</v>
      </c>
      <c r="C121" s="89">
        <v>1</v>
      </c>
      <c r="D121" s="43">
        <v>1</v>
      </c>
      <c r="E121" s="44">
        <f>C121/D121</f>
        <v>1</v>
      </c>
      <c r="F121" s="45">
        <v>0</v>
      </c>
      <c r="G121" s="45">
        <v>1</v>
      </c>
      <c r="H121" s="45">
        <f>(E121+F121)*G121</f>
        <v>1</v>
      </c>
      <c r="I121" s="90">
        <f>H121/4</f>
        <v>0.25</v>
      </c>
      <c r="J121" s="73">
        <v>130</v>
      </c>
      <c r="K121" s="58">
        <f>0.64*0.9*J121/1000</f>
        <v>7.4880000000000016E-2</v>
      </c>
      <c r="L121" s="46">
        <v>5</v>
      </c>
      <c r="M121" s="47">
        <f>H121*L121</f>
        <v>5</v>
      </c>
      <c r="N121" s="49">
        <f>M121*0.2</f>
        <v>1</v>
      </c>
      <c r="O121" s="91">
        <v>25</v>
      </c>
      <c r="P121" s="50">
        <f>(L121+O121)*(H121+N121)</f>
        <v>60</v>
      </c>
      <c r="Q121" s="76">
        <f>I121*K121*9</f>
        <v>0.16848000000000005</v>
      </c>
      <c r="R121" s="294"/>
      <c r="S121" s="295"/>
      <c r="T121" s="292"/>
      <c r="U121" s="293"/>
    </row>
    <row r="122" spans="1:21" ht="15.75" thickBot="1" x14ac:dyDescent="0.3"/>
    <row r="123" spans="1:21" ht="83.25" customHeight="1" thickBot="1" x14ac:dyDescent="0.3">
      <c r="A123" s="313" t="s">
        <v>128</v>
      </c>
      <c r="B123" s="221" t="s">
        <v>129</v>
      </c>
      <c r="C123" s="222" t="s">
        <v>20</v>
      </c>
      <c r="D123" s="223" t="s">
        <v>2</v>
      </c>
      <c r="E123" s="224" t="s">
        <v>3</v>
      </c>
      <c r="F123" s="223" t="s">
        <v>4</v>
      </c>
      <c r="G123" s="223" t="s">
        <v>21</v>
      </c>
      <c r="H123" s="223" t="s">
        <v>22</v>
      </c>
      <c r="I123" s="225" t="s">
        <v>5</v>
      </c>
      <c r="J123" s="223" t="s">
        <v>6</v>
      </c>
      <c r="K123" s="223" t="s">
        <v>7</v>
      </c>
      <c r="L123" s="223" t="s">
        <v>8</v>
      </c>
      <c r="M123" s="223" t="s">
        <v>9</v>
      </c>
      <c r="N123" s="223" t="s">
        <v>36</v>
      </c>
      <c r="O123" s="223" t="s">
        <v>39</v>
      </c>
      <c r="P123" s="223" t="s">
        <v>40</v>
      </c>
      <c r="Q123" s="223" t="s">
        <v>15</v>
      </c>
      <c r="R123" s="226" t="s">
        <v>24</v>
      </c>
      <c r="S123" s="223" t="s">
        <v>25</v>
      </c>
      <c r="T123" s="223" t="s">
        <v>18</v>
      </c>
      <c r="U123" s="227" t="s">
        <v>26</v>
      </c>
    </row>
    <row r="124" spans="1:21" x14ac:dyDescent="0.25">
      <c r="A124" s="314"/>
      <c r="B124" s="228" t="s">
        <v>27</v>
      </c>
      <c r="C124" s="229">
        <v>16</v>
      </c>
      <c r="D124" s="230">
        <v>1</v>
      </c>
      <c r="E124" s="231">
        <f>C124/D124</f>
        <v>16</v>
      </c>
      <c r="F124" s="232">
        <v>0</v>
      </c>
      <c r="G124" s="232">
        <v>3</v>
      </c>
      <c r="H124" s="232">
        <f>(E124+F124)*G124</f>
        <v>48</v>
      </c>
      <c r="I124" s="233">
        <f>H124/4</f>
        <v>12</v>
      </c>
      <c r="J124" s="234">
        <v>250</v>
      </c>
      <c r="K124" s="235">
        <f>0.64*0.9*J124/1000</f>
        <v>0.14400000000000002</v>
      </c>
      <c r="L124" s="236">
        <v>14</v>
      </c>
      <c r="M124" s="237">
        <f>(E124+F124)*G124*L124</f>
        <v>672</v>
      </c>
      <c r="N124" s="238">
        <f>M124*0.2</f>
        <v>134.4</v>
      </c>
      <c r="O124" s="239">
        <v>25</v>
      </c>
      <c r="P124" s="240">
        <f>(L124+O124)*H124+N124</f>
        <v>2006.4</v>
      </c>
      <c r="Q124" s="241">
        <f>I124*K124*9+250</f>
        <v>265.55200000000002</v>
      </c>
      <c r="R124" s="276">
        <f>D127+D128+D129</f>
        <v>6316.7999999999993</v>
      </c>
      <c r="S124" s="279">
        <v>0.5</v>
      </c>
      <c r="T124" s="263">
        <f>(P124+P125+R124)+((P124+P125+R124)*S124)+(Q124+Q125)</f>
        <v>14596.24768</v>
      </c>
      <c r="U124" s="266">
        <f>T124/C125</f>
        <v>912.26548000000003</v>
      </c>
    </row>
    <row r="125" spans="1:21" ht="15.75" thickBot="1" x14ac:dyDescent="0.3">
      <c r="A125" s="315"/>
      <c r="B125" s="88" t="s">
        <v>29</v>
      </c>
      <c r="C125" s="89">
        <v>16</v>
      </c>
      <c r="D125" s="43">
        <v>1</v>
      </c>
      <c r="E125" s="242">
        <f>C125/D125</f>
        <v>16</v>
      </c>
      <c r="F125" s="243">
        <v>0</v>
      </c>
      <c r="G125" s="243">
        <v>1</v>
      </c>
      <c r="H125" s="243">
        <f>(E125+F125)*G125</f>
        <v>16</v>
      </c>
      <c r="I125" s="90">
        <f>H125/4</f>
        <v>4</v>
      </c>
      <c r="J125" s="73">
        <v>130</v>
      </c>
      <c r="K125" s="58">
        <f>0.64*0.9*J125/1000</f>
        <v>7.4880000000000016E-2</v>
      </c>
      <c r="L125" s="46">
        <v>7</v>
      </c>
      <c r="M125" s="244">
        <f>(E125+F125)*L125</f>
        <v>112</v>
      </c>
      <c r="N125" s="245">
        <f>M125*0.2</f>
        <v>22.400000000000002</v>
      </c>
      <c r="O125" s="91">
        <v>25</v>
      </c>
      <c r="P125" s="50">
        <f>(L125+O125)*(H125+N125)</f>
        <v>1228.8000000000002</v>
      </c>
      <c r="Q125" s="76">
        <f>I125*K125*9</f>
        <v>2.6956800000000007</v>
      </c>
      <c r="R125" s="289"/>
      <c r="S125" s="291"/>
      <c r="T125" s="281"/>
      <c r="U125" s="283"/>
    </row>
    <row r="127" spans="1:21" x14ac:dyDescent="0.25">
      <c r="A127" s="8" t="s">
        <v>122</v>
      </c>
      <c r="B127" s="246">
        <f>H124+H125</f>
        <v>64</v>
      </c>
      <c r="C127" s="8">
        <v>9</v>
      </c>
      <c r="D127" s="8">
        <f>B127*C127</f>
        <v>576</v>
      </c>
    </row>
    <row r="128" spans="1:21" x14ac:dyDescent="0.25">
      <c r="A128" s="8" t="s">
        <v>130</v>
      </c>
      <c r="B128" s="246">
        <f>C125</f>
        <v>16</v>
      </c>
      <c r="C128" s="8">
        <v>150</v>
      </c>
      <c r="D128" s="8">
        <f>B128*C128</f>
        <v>2400</v>
      </c>
    </row>
    <row r="129" spans="1:21" x14ac:dyDescent="0.25">
      <c r="A129" s="8" t="s">
        <v>131</v>
      </c>
      <c r="B129" s="8">
        <f>C125*0.24</f>
        <v>3.84</v>
      </c>
      <c r="C129" s="8">
        <v>870</v>
      </c>
      <c r="D129" s="246">
        <f>B129*C129</f>
        <v>3340.7999999999997</v>
      </c>
    </row>
    <row r="130" spans="1:21" ht="15.75" thickBot="1" x14ac:dyDescent="0.3"/>
    <row r="131" spans="1:21" ht="82.5" customHeight="1" x14ac:dyDescent="0.25">
      <c r="A131" s="303" t="s">
        <v>132</v>
      </c>
      <c r="B131" s="81"/>
      <c r="C131" s="82" t="s">
        <v>20</v>
      </c>
      <c r="D131" s="83" t="s">
        <v>2</v>
      </c>
      <c r="E131" s="84" t="s">
        <v>3</v>
      </c>
      <c r="F131" s="83" t="s">
        <v>4</v>
      </c>
      <c r="G131" s="83" t="s">
        <v>21</v>
      </c>
      <c r="H131" s="83" t="s">
        <v>22</v>
      </c>
      <c r="I131" s="85" t="s">
        <v>5</v>
      </c>
      <c r="J131" s="83" t="s">
        <v>6</v>
      </c>
      <c r="K131" s="83" t="s">
        <v>7</v>
      </c>
      <c r="L131" s="83" t="s">
        <v>8</v>
      </c>
      <c r="M131" s="83" t="s">
        <v>9</v>
      </c>
      <c r="N131" s="83" t="s">
        <v>36</v>
      </c>
      <c r="O131" s="83" t="s">
        <v>39</v>
      </c>
      <c r="P131" s="83" t="s">
        <v>40</v>
      </c>
      <c r="Q131" s="83" t="s">
        <v>15</v>
      </c>
      <c r="R131" s="86" t="s">
        <v>24</v>
      </c>
      <c r="S131" s="83" t="s">
        <v>25</v>
      </c>
      <c r="T131" s="83" t="s">
        <v>18</v>
      </c>
      <c r="U131" s="87" t="s">
        <v>26</v>
      </c>
    </row>
    <row r="132" spans="1:21" x14ac:dyDescent="0.25">
      <c r="A132" s="304"/>
      <c r="B132" s="80" t="s">
        <v>27</v>
      </c>
      <c r="C132" s="34">
        <v>30</v>
      </c>
      <c r="D132" s="35">
        <v>1</v>
      </c>
      <c r="E132" s="36">
        <f>C132/D132</f>
        <v>30</v>
      </c>
      <c r="F132" s="37">
        <v>0</v>
      </c>
      <c r="G132" s="37">
        <v>10</v>
      </c>
      <c r="H132" s="37">
        <f>(E132+F132)*G132</f>
        <v>300</v>
      </c>
      <c r="I132" s="11">
        <f>H132/4</f>
        <v>75</v>
      </c>
      <c r="J132" s="72">
        <v>80</v>
      </c>
      <c r="K132" s="13">
        <f>0.64*0.9*J132/1000</f>
        <v>4.6080000000000003E-2</v>
      </c>
      <c r="L132" s="38">
        <v>3</v>
      </c>
      <c r="M132" s="39">
        <f>H132*L132</f>
        <v>900</v>
      </c>
      <c r="N132" s="41">
        <f>M132*0.2</f>
        <v>180</v>
      </c>
      <c r="O132" s="79">
        <v>0</v>
      </c>
      <c r="P132" s="42">
        <f>(L132+O132)*H132+N132</f>
        <v>1080</v>
      </c>
      <c r="Q132" s="75">
        <f>I132*K132*9+250</f>
        <v>281.10399999999998</v>
      </c>
      <c r="R132" s="306">
        <f>17*0.41*C134</f>
        <v>209.1</v>
      </c>
      <c r="S132" s="307">
        <v>0.2</v>
      </c>
      <c r="T132" s="308">
        <f>(P132+P134+P133+R132)+((P132+P134+P133+R132)*S132)+(Q132+Q133+Q134)</f>
        <v>3884.4879999999998</v>
      </c>
      <c r="U132" s="309">
        <f>T132/C134</f>
        <v>129.48293333333334</v>
      </c>
    </row>
    <row r="133" spans="1:21" x14ac:dyDescent="0.25">
      <c r="A133" s="304"/>
      <c r="B133" s="80"/>
      <c r="C133" s="34">
        <v>0</v>
      </c>
      <c r="D133" s="35">
        <v>1</v>
      </c>
      <c r="E133" s="36">
        <f>C133/D133</f>
        <v>0</v>
      </c>
      <c r="F133" s="37">
        <v>0</v>
      </c>
      <c r="G133" s="37">
        <v>0</v>
      </c>
      <c r="H133" s="37">
        <f>(E133+F133)*G133</f>
        <v>0</v>
      </c>
      <c r="I133" s="11">
        <f>H133/4</f>
        <v>0</v>
      </c>
      <c r="J133" s="72">
        <v>0</v>
      </c>
      <c r="K133" s="13">
        <f>0.64*0.9*J133/1000</f>
        <v>0</v>
      </c>
      <c r="L133" s="38">
        <v>0</v>
      </c>
      <c r="M133" s="39">
        <f>H133*L133</f>
        <v>0</v>
      </c>
      <c r="N133" s="41">
        <f>M133*0.2</f>
        <v>0</v>
      </c>
      <c r="O133" s="79">
        <v>0</v>
      </c>
      <c r="P133" s="42">
        <f>(L133+O133)*H133+N133</f>
        <v>0</v>
      </c>
      <c r="Q133" s="75">
        <f t="shared" ref="Q133" si="7">I133*K133*7</f>
        <v>0</v>
      </c>
      <c r="R133" s="275"/>
      <c r="S133" s="278"/>
      <c r="T133" s="262"/>
      <c r="U133" s="265"/>
    </row>
    <row r="134" spans="1:21" ht="15.75" thickBot="1" x14ac:dyDescent="0.3">
      <c r="A134" s="305"/>
      <c r="B134" s="88" t="s">
        <v>29</v>
      </c>
      <c r="C134" s="89">
        <v>30</v>
      </c>
      <c r="D134" s="43">
        <v>1</v>
      </c>
      <c r="E134" s="44">
        <f>C134/D134</f>
        <v>30</v>
      </c>
      <c r="F134" s="45">
        <v>0</v>
      </c>
      <c r="G134" s="45">
        <v>1</v>
      </c>
      <c r="H134" s="45">
        <f>(E134+F134)*G134</f>
        <v>30</v>
      </c>
      <c r="I134" s="90">
        <f>H134/4</f>
        <v>7.5</v>
      </c>
      <c r="J134" s="73">
        <v>300</v>
      </c>
      <c r="K134" s="58">
        <f>0.64*0.9*J134/1000</f>
        <v>0.17280000000000001</v>
      </c>
      <c r="L134" s="46">
        <v>14</v>
      </c>
      <c r="M134" s="47">
        <f>H134*L134</f>
        <v>420</v>
      </c>
      <c r="N134" s="49">
        <f>M134*0.2</f>
        <v>84</v>
      </c>
      <c r="O134" s="91">
        <v>40</v>
      </c>
      <c r="P134" s="50">
        <f>(L134+O134)*H134+N134</f>
        <v>1704</v>
      </c>
      <c r="Q134" s="76">
        <f>I134*K134*9</f>
        <v>11.664</v>
      </c>
      <c r="R134" s="294"/>
      <c r="S134" s="295"/>
      <c r="T134" s="292"/>
      <c r="U134" s="293"/>
    </row>
    <row r="135" spans="1:21" ht="15.75" thickBot="1" x14ac:dyDescent="0.3"/>
    <row r="136" spans="1:21" ht="75" x14ac:dyDescent="0.25">
      <c r="A136" s="303" t="s">
        <v>133</v>
      </c>
      <c r="B136" s="81"/>
      <c r="C136" s="82" t="s">
        <v>20</v>
      </c>
      <c r="D136" s="83" t="s">
        <v>2</v>
      </c>
      <c r="E136" s="84" t="s">
        <v>3</v>
      </c>
      <c r="F136" s="83" t="s">
        <v>4</v>
      </c>
      <c r="G136" s="83" t="s">
        <v>21</v>
      </c>
      <c r="H136" s="83" t="s">
        <v>22</v>
      </c>
      <c r="I136" s="85" t="s">
        <v>5</v>
      </c>
      <c r="J136" s="83" t="s">
        <v>6</v>
      </c>
      <c r="K136" s="83" t="s">
        <v>7</v>
      </c>
      <c r="L136" s="83" t="s">
        <v>8</v>
      </c>
      <c r="M136" s="83" t="s">
        <v>9</v>
      </c>
      <c r="N136" s="83" t="s">
        <v>36</v>
      </c>
      <c r="O136" s="83" t="s">
        <v>39</v>
      </c>
      <c r="P136" s="83" t="s">
        <v>40</v>
      </c>
      <c r="Q136" s="83" t="s">
        <v>15</v>
      </c>
      <c r="R136" s="86" t="s">
        <v>24</v>
      </c>
      <c r="S136" s="83" t="s">
        <v>25</v>
      </c>
      <c r="T136" s="83" t="s">
        <v>18</v>
      </c>
      <c r="U136" s="87" t="s">
        <v>26</v>
      </c>
    </row>
    <row r="137" spans="1:21" x14ac:dyDescent="0.25">
      <c r="A137" s="304"/>
      <c r="B137" s="80" t="s">
        <v>27</v>
      </c>
      <c r="C137" s="34">
        <v>1</v>
      </c>
      <c r="D137" s="35">
        <v>1</v>
      </c>
      <c r="E137" s="36">
        <f>C137/D137</f>
        <v>1</v>
      </c>
      <c r="F137" s="37">
        <v>1</v>
      </c>
      <c r="G137" s="37">
        <v>2</v>
      </c>
      <c r="H137" s="37">
        <f>(E137+F137)*G137</f>
        <v>4</v>
      </c>
      <c r="I137" s="11">
        <f>H137/4</f>
        <v>1</v>
      </c>
      <c r="J137" s="72">
        <v>250</v>
      </c>
      <c r="K137" s="13">
        <f>0.64*0.9*J137/1000</f>
        <v>0.14400000000000002</v>
      </c>
      <c r="L137" s="38">
        <v>14</v>
      </c>
      <c r="M137" s="39">
        <f>H137*L137</f>
        <v>56</v>
      </c>
      <c r="N137" s="41">
        <f>M137*0.2</f>
        <v>11.200000000000001</v>
      </c>
      <c r="O137" s="79">
        <v>50</v>
      </c>
      <c r="P137" s="42">
        <f>(L137+O137)*H137+N137</f>
        <v>267.2</v>
      </c>
      <c r="Q137" s="75">
        <f>I137*K137*9+250</f>
        <v>251.29599999999999</v>
      </c>
      <c r="R137" s="306">
        <f>(G137+G139)*27+0.23*2*C137</f>
        <v>81.459999999999994</v>
      </c>
      <c r="S137" s="307">
        <v>0.2</v>
      </c>
      <c r="T137" s="308">
        <f>(P137+P139+P138+R137)+((P137+P139+P138+R137)*S137)+(Q137+Q138+Q139)</f>
        <v>830.65599999999995</v>
      </c>
      <c r="U137" s="309">
        <f>T137/C139</f>
        <v>830.65599999999995</v>
      </c>
    </row>
    <row r="138" spans="1:21" x14ac:dyDescent="0.25">
      <c r="A138" s="304"/>
      <c r="B138" s="80"/>
      <c r="C138" s="34">
        <v>0</v>
      </c>
      <c r="D138" s="35">
        <v>1</v>
      </c>
      <c r="E138" s="36">
        <f>C138/D138</f>
        <v>0</v>
      </c>
      <c r="F138" s="37">
        <v>0</v>
      </c>
      <c r="G138" s="37">
        <v>0</v>
      </c>
      <c r="H138" s="37">
        <f>(E138+F138)*G138</f>
        <v>0</v>
      </c>
      <c r="I138" s="11">
        <f>H138/4</f>
        <v>0</v>
      </c>
      <c r="J138" s="72">
        <v>0</v>
      </c>
      <c r="K138" s="13">
        <f>0.64*0.9*J138/1000</f>
        <v>0</v>
      </c>
      <c r="L138" s="38">
        <v>0</v>
      </c>
      <c r="M138" s="39">
        <v>0</v>
      </c>
      <c r="N138" s="41">
        <f>M138*0.2</f>
        <v>0</v>
      </c>
      <c r="O138" s="79">
        <v>0</v>
      </c>
      <c r="P138" s="42">
        <f>(L138+O138)*H138+N138</f>
        <v>0</v>
      </c>
      <c r="Q138" s="75">
        <f t="shared" ref="Q138" si="8">I138*K138*7</f>
        <v>0</v>
      </c>
      <c r="R138" s="275"/>
      <c r="S138" s="278"/>
      <c r="T138" s="262"/>
      <c r="U138" s="265"/>
    </row>
    <row r="139" spans="1:21" ht="15.75" thickBot="1" x14ac:dyDescent="0.3">
      <c r="A139" s="305"/>
      <c r="B139" s="88" t="s">
        <v>29</v>
      </c>
      <c r="C139" s="89">
        <v>1</v>
      </c>
      <c r="D139" s="43">
        <v>1</v>
      </c>
      <c r="E139" s="44">
        <f>C139/D139</f>
        <v>1</v>
      </c>
      <c r="F139" s="45">
        <v>1</v>
      </c>
      <c r="G139" s="45">
        <v>1</v>
      </c>
      <c r="H139" s="45">
        <f>(E139+F139)*G139</f>
        <v>2</v>
      </c>
      <c r="I139" s="90">
        <f>H139/4</f>
        <v>0.5</v>
      </c>
      <c r="J139" s="73">
        <v>250</v>
      </c>
      <c r="K139" s="58">
        <f>0.64*0.9*J139/1000</f>
        <v>0.14400000000000002</v>
      </c>
      <c r="L139" s="46">
        <v>14</v>
      </c>
      <c r="M139" s="47">
        <f>H139*L139</f>
        <v>28</v>
      </c>
      <c r="N139" s="49">
        <f>M139*0.2</f>
        <v>5.6000000000000005</v>
      </c>
      <c r="O139" s="91">
        <v>50</v>
      </c>
      <c r="P139" s="50">
        <f>(L139+O139)*H139+N139</f>
        <v>133.6</v>
      </c>
      <c r="Q139" s="76">
        <f>I139*K139*9</f>
        <v>0.64800000000000013</v>
      </c>
      <c r="R139" s="294"/>
      <c r="S139" s="295"/>
      <c r="T139" s="292"/>
      <c r="U139" s="293"/>
    </row>
    <row r="140" spans="1:21" ht="15.75" thickBot="1" x14ac:dyDescent="0.3"/>
    <row r="141" spans="1:21" ht="75" x14ac:dyDescent="0.25">
      <c r="A141" s="303" t="s">
        <v>134</v>
      </c>
      <c r="B141" s="81"/>
      <c r="C141" s="82" t="s">
        <v>20</v>
      </c>
      <c r="D141" s="83" t="s">
        <v>2</v>
      </c>
      <c r="E141" s="84" t="s">
        <v>3</v>
      </c>
      <c r="F141" s="83" t="s">
        <v>4</v>
      </c>
      <c r="G141" s="83" t="s">
        <v>21</v>
      </c>
      <c r="H141" s="83" t="s">
        <v>22</v>
      </c>
      <c r="I141" s="85" t="s">
        <v>5</v>
      </c>
      <c r="J141" s="83" t="s">
        <v>6</v>
      </c>
      <c r="K141" s="83" t="s">
        <v>7</v>
      </c>
      <c r="L141" s="83" t="s">
        <v>8</v>
      </c>
      <c r="M141" s="83" t="s">
        <v>9</v>
      </c>
      <c r="N141" s="83" t="s">
        <v>36</v>
      </c>
      <c r="O141" s="83" t="s">
        <v>39</v>
      </c>
      <c r="P141" s="83" t="s">
        <v>40</v>
      </c>
      <c r="Q141" s="83" t="s">
        <v>15</v>
      </c>
      <c r="R141" s="86" t="s">
        <v>24</v>
      </c>
      <c r="S141" s="83" t="s">
        <v>25</v>
      </c>
      <c r="T141" s="83" t="s">
        <v>18</v>
      </c>
      <c r="U141" s="87" t="s">
        <v>26</v>
      </c>
    </row>
    <row r="142" spans="1:21" x14ac:dyDescent="0.25">
      <c r="A142" s="304"/>
      <c r="B142" s="80" t="s">
        <v>27</v>
      </c>
      <c r="C142" s="34">
        <v>50</v>
      </c>
      <c r="D142" s="35">
        <v>1</v>
      </c>
      <c r="E142" s="36">
        <f>C142/D142</f>
        <v>50</v>
      </c>
      <c r="F142" s="37">
        <v>1</v>
      </c>
      <c r="G142" s="37">
        <v>4</v>
      </c>
      <c r="H142" s="37">
        <f>(E142+F142)*G142</f>
        <v>204</v>
      </c>
      <c r="I142" s="11">
        <f>H142/4</f>
        <v>51</v>
      </c>
      <c r="J142" s="72">
        <v>130</v>
      </c>
      <c r="K142" s="13">
        <f>0.64*0.9*J142/1000</f>
        <v>7.4880000000000016E-2</v>
      </c>
      <c r="L142" s="38">
        <v>5</v>
      </c>
      <c r="M142" s="39">
        <f>H142*L142</f>
        <v>1020</v>
      </c>
      <c r="N142" s="41">
        <f>M142*0.2</f>
        <v>204</v>
      </c>
      <c r="O142" s="79">
        <v>50</v>
      </c>
      <c r="P142" s="42">
        <f>(L142+O142)*H142+N142</f>
        <v>11424</v>
      </c>
      <c r="Q142" s="75">
        <f>I142*K142*9+250</f>
        <v>284.36991999999998</v>
      </c>
      <c r="R142" s="306">
        <f>0.23*2*C144</f>
        <v>23</v>
      </c>
      <c r="S142" s="307">
        <v>0.2</v>
      </c>
      <c r="T142" s="308">
        <f>(P142+P144+P143+R142)+((P142+P144+P143+R142)*S142)+(Q142+Q143+Q144)</f>
        <v>15069.589119999999</v>
      </c>
      <c r="U142" s="309">
        <f>T142/C144</f>
        <v>301.39178239999995</v>
      </c>
    </row>
    <row r="143" spans="1:21" x14ac:dyDescent="0.25">
      <c r="A143" s="304"/>
      <c r="B143" s="80"/>
      <c r="C143" s="34">
        <v>0</v>
      </c>
      <c r="D143" s="35">
        <v>1</v>
      </c>
      <c r="E143" s="36">
        <f>C143/D143</f>
        <v>0</v>
      </c>
      <c r="F143" s="37">
        <v>0</v>
      </c>
      <c r="G143" s="37">
        <v>0</v>
      </c>
      <c r="H143" s="37">
        <f>(E143+F143)*G143</f>
        <v>0</v>
      </c>
      <c r="I143" s="11">
        <f>H143/4</f>
        <v>0</v>
      </c>
      <c r="J143" s="72">
        <v>0</v>
      </c>
      <c r="K143" s="13">
        <f>0.64*0.9*J143/1000</f>
        <v>0</v>
      </c>
      <c r="L143" s="38">
        <v>0</v>
      </c>
      <c r="M143" s="39">
        <v>0</v>
      </c>
      <c r="N143" s="41">
        <f>M143*0.2</f>
        <v>0</v>
      </c>
      <c r="O143" s="79">
        <v>0</v>
      </c>
      <c r="P143" s="42">
        <f>(L143+O143)*H143+N143</f>
        <v>0</v>
      </c>
      <c r="Q143" s="75">
        <f t="shared" ref="Q143" si="9">I143*K143*7</f>
        <v>0</v>
      </c>
      <c r="R143" s="275"/>
      <c r="S143" s="278"/>
      <c r="T143" s="262"/>
      <c r="U143" s="265"/>
    </row>
    <row r="144" spans="1:21" ht="15.75" thickBot="1" x14ac:dyDescent="0.3">
      <c r="A144" s="305"/>
      <c r="B144" s="88" t="s">
        <v>29</v>
      </c>
      <c r="C144" s="89">
        <v>50</v>
      </c>
      <c r="D144" s="43">
        <v>2</v>
      </c>
      <c r="E144" s="44">
        <f>C144/D144</f>
        <v>25</v>
      </c>
      <c r="F144" s="45">
        <v>1</v>
      </c>
      <c r="G144" s="45">
        <v>1</v>
      </c>
      <c r="H144" s="45">
        <f>(E144+F144)*G144</f>
        <v>26</v>
      </c>
      <c r="I144" s="90">
        <f>H144/4</f>
        <v>6.5</v>
      </c>
      <c r="J144" s="73">
        <v>200</v>
      </c>
      <c r="K144" s="58">
        <f>0.64*0.9*J144/1000</f>
        <v>0.11520000000000001</v>
      </c>
      <c r="L144" s="46">
        <v>7</v>
      </c>
      <c r="M144" s="47">
        <f>H144*L144</f>
        <v>182</v>
      </c>
      <c r="N144" s="49">
        <f>M144*0.2</f>
        <v>36.4</v>
      </c>
      <c r="O144" s="91">
        <v>25</v>
      </c>
      <c r="P144" s="50">
        <f>(L144+O144)*H144+N144</f>
        <v>868.4</v>
      </c>
      <c r="Q144" s="76">
        <f>I144*K144*9</f>
        <v>6.7392000000000003</v>
      </c>
      <c r="R144" s="294"/>
      <c r="S144" s="295"/>
      <c r="T144" s="292"/>
      <c r="U144" s="293"/>
    </row>
    <row r="145" spans="1:21" ht="15.75" thickBot="1" x14ac:dyDescent="0.3"/>
    <row r="146" spans="1:21" ht="75" x14ac:dyDescent="0.25">
      <c r="A146" s="303" t="s">
        <v>134</v>
      </c>
      <c r="B146" s="81"/>
      <c r="C146" s="82" t="s">
        <v>20</v>
      </c>
      <c r="D146" s="83" t="s">
        <v>2</v>
      </c>
      <c r="E146" s="84" t="s">
        <v>3</v>
      </c>
      <c r="F146" s="83" t="s">
        <v>4</v>
      </c>
      <c r="G146" s="83" t="s">
        <v>21</v>
      </c>
      <c r="H146" s="83" t="s">
        <v>22</v>
      </c>
      <c r="I146" s="85" t="s">
        <v>5</v>
      </c>
      <c r="J146" s="83" t="s">
        <v>6</v>
      </c>
      <c r="K146" s="83" t="s">
        <v>7</v>
      </c>
      <c r="L146" s="83" t="s">
        <v>8</v>
      </c>
      <c r="M146" s="83" t="s">
        <v>9</v>
      </c>
      <c r="N146" s="83" t="s">
        <v>36</v>
      </c>
      <c r="O146" s="83" t="s">
        <v>39</v>
      </c>
      <c r="P146" s="83" t="s">
        <v>40</v>
      </c>
      <c r="Q146" s="83" t="s">
        <v>15</v>
      </c>
      <c r="R146" s="86" t="s">
        <v>24</v>
      </c>
      <c r="S146" s="83" t="s">
        <v>25</v>
      </c>
      <c r="T146" s="83" t="s">
        <v>18</v>
      </c>
      <c r="U146" s="87" t="s">
        <v>26</v>
      </c>
    </row>
    <row r="147" spans="1:21" x14ac:dyDescent="0.25">
      <c r="A147" s="304"/>
      <c r="B147" s="80" t="s">
        <v>27</v>
      </c>
      <c r="C147" s="34">
        <v>100</v>
      </c>
      <c r="D147" s="35">
        <v>1</v>
      </c>
      <c r="E147" s="36">
        <f>C147/D147</f>
        <v>100</v>
      </c>
      <c r="F147" s="37">
        <v>1</v>
      </c>
      <c r="G147" s="37">
        <v>4</v>
      </c>
      <c r="H147" s="37">
        <f>(E147+F147)*G147</f>
        <v>404</v>
      </c>
      <c r="I147" s="11">
        <f>H147/4</f>
        <v>101</v>
      </c>
      <c r="J147" s="72">
        <v>130</v>
      </c>
      <c r="K147" s="13">
        <f>0.64*0.9*J147/1000</f>
        <v>7.4880000000000016E-2</v>
      </c>
      <c r="L147" s="38">
        <v>5</v>
      </c>
      <c r="M147" s="39">
        <f>H147*L147</f>
        <v>2020</v>
      </c>
      <c r="N147" s="41">
        <f>M147*0.2</f>
        <v>404</v>
      </c>
      <c r="O147" s="79">
        <v>80</v>
      </c>
      <c r="P147" s="42">
        <f>(L147+O147)*H147+N147</f>
        <v>34744</v>
      </c>
      <c r="Q147" s="75">
        <f>I147*K147*9+250</f>
        <v>318.06592000000001</v>
      </c>
      <c r="R147" s="306">
        <f>0.23*2*C149</f>
        <v>46</v>
      </c>
      <c r="S147" s="307">
        <v>0.2</v>
      </c>
      <c r="T147" s="308">
        <f>(P147+P149+P148+R147)+((P147+P149+P148+R147)*S147)+(Q147+Q148+Q149)</f>
        <v>52806.325120000001</v>
      </c>
      <c r="U147" s="309">
        <f>T147/C149</f>
        <v>528.06325119999997</v>
      </c>
    </row>
    <row r="148" spans="1:21" x14ac:dyDescent="0.25">
      <c r="A148" s="304"/>
      <c r="B148" s="80"/>
      <c r="C148" s="34">
        <v>0</v>
      </c>
      <c r="D148" s="35">
        <v>1</v>
      </c>
      <c r="E148" s="36">
        <f>C148/D148</f>
        <v>0</v>
      </c>
      <c r="F148" s="37">
        <v>0</v>
      </c>
      <c r="G148" s="37">
        <v>0</v>
      </c>
      <c r="H148" s="37">
        <f>(E148+F148)*G148</f>
        <v>0</v>
      </c>
      <c r="I148" s="11">
        <f>H148/4</f>
        <v>0</v>
      </c>
      <c r="J148" s="72">
        <v>0</v>
      </c>
      <c r="K148" s="13">
        <f>0.64*0.9*J148/1000</f>
        <v>0</v>
      </c>
      <c r="L148" s="38">
        <v>0</v>
      </c>
      <c r="M148" s="39">
        <v>0</v>
      </c>
      <c r="N148" s="41">
        <f>M148*0.2</f>
        <v>0</v>
      </c>
      <c r="O148" s="79">
        <v>0</v>
      </c>
      <c r="P148" s="42">
        <f>(L148+O148)*H148+N148</f>
        <v>0</v>
      </c>
      <c r="Q148" s="75">
        <f t="shared" ref="Q148" si="10">I148*K148*7</f>
        <v>0</v>
      </c>
      <c r="R148" s="275"/>
      <c r="S148" s="278"/>
      <c r="T148" s="262"/>
      <c r="U148" s="265"/>
    </row>
    <row r="149" spans="1:21" ht="15.75" thickBot="1" x14ac:dyDescent="0.3">
      <c r="A149" s="305"/>
      <c r="B149" s="88" t="s">
        <v>29</v>
      </c>
      <c r="C149" s="89">
        <v>100</v>
      </c>
      <c r="D149" s="43">
        <v>1</v>
      </c>
      <c r="E149" s="44">
        <f>C149/D149</f>
        <v>100</v>
      </c>
      <c r="F149" s="45">
        <v>1</v>
      </c>
      <c r="G149" s="45">
        <v>1</v>
      </c>
      <c r="H149" s="45">
        <f>(E149+F149)*G149</f>
        <v>101</v>
      </c>
      <c r="I149" s="90">
        <f>H149/4</f>
        <v>25.25</v>
      </c>
      <c r="J149" s="73">
        <v>200</v>
      </c>
      <c r="K149" s="58">
        <f>0.64*0.9*J149/1000</f>
        <v>0.11520000000000001</v>
      </c>
      <c r="L149" s="46">
        <v>7</v>
      </c>
      <c r="M149" s="47">
        <f>H149*L149</f>
        <v>707</v>
      </c>
      <c r="N149" s="49">
        <f>M149*0.2</f>
        <v>141.4</v>
      </c>
      <c r="O149" s="91">
        <v>80</v>
      </c>
      <c r="P149" s="50">
        <f>(L149+O149)*H149+N149</f>
        <v>8928.4</v>
      </c>
      <c r="Q149" s="76">
        <f>I149*K149*9</f>
        <v>26.179200000000002</v>
      </c>
      <c r="R149" s="294"/>
      <c r="S149" s="295"/>
      <c r="T149" s="292"/>
      <c r="U149" s="293"/>
    </row>
    <row r="150" spans="1:21" ht="15.75" thickBot="1" x14ac:dyDescent="0.3"/>
    <row r="151" spans="1:21" ht="75.75" thickBot="1" x14ac:dyDescent="0.3">
      <c r="A151" s="313" t="s">
        <v>135</v>
      </c>
      <c r="B151" s="221" t="s">
        <v>129</v>
      </c>
      <c r="C151" s="222" t="s">
        <v>20</v>
      </c>
      <c r="D151" s="223" t="s">
        <v>2</v>
      </c>
      <c r="E151" s="224" t="s">
        <v>3</v>
      </c>
      <c r="F151" s="223" t="s">
        <v>4</v>
      </c>
      <c r="G151" s="223" t="s">
        <v>21</v>
      </c>
      <c r="H151" s="223" t="s">
        <v>22</v>
      </c>
      <c r="I151" s="225" t="s">
        <v>5</v>
      </c>
      <c r="J151" s="223" t="s">
        <v>6</v>
      </c>
      <c r="K151" s="223" t="s">
        <v>7</v>
      </c>
      <c r="L151" s="223" t="s">
        <v>8</v>
      </c>
      <c r="M151" s="223" t="s">
        <v>9</v>
      </c>
      <c r="N151" s="223" t="s">
        <v>36</v>
      </c>
      <c r="O151" s="223" t="s">
        <v>39</v>
      </c>
      <c r="P151" s="223" t="s">
        <v>40</v>
      </c>
      <c r="Q151" s="223" t="s">
        <v>15</v>
      </c>
      <c r="R151" s="226" t="s">
        <v>24</v>
      </c>
      <c r="S151" s="223" t="s">
        <v>25</v>
      </c>
      <c r="T151" s="223" t="s">
        <v>18</v>
      </c>
      <c r="U151" s="227" t="s">
        <v>26</v>
      </c>
    </row>
    <row r="152" spans="1:21" x14ac:dyDescent="0.25">
      <c r="A152" s="314"/>
      <c r="B152" s="228" t="s">
        <v>27</v>
      </c>
      <c r="C152" s="229">
        <v>16</v>
      </c>
      <c r="D152" s="230">
        <v>1</v>
      </c>
      <c r="E152" s="250">
        <f>C152/D152</f>
        <v>16</v>
      </c>
      <c r="F152" s="251">
        <v>0</v>
      </c>
      <c r="G152" s="251">
        <v>4</v>
      </c>
      <c r="H152" s="251">
        <f>(E152+F152)*G152</f>
        <v>64</v>
      </c>
      <c r="I152" s="233">
        <f>H152/4</f>
        <v>16</v>
      </c>
      <c r="J152" s="234">
        <v>250</v>
      </c>
      <c r="K152" s="235">
        <f>0.64*0.9*J152/1000</f>
        <v>0.14400000000000002</v>
      </c>
      <c r="L152" s="236">
        <v>14</v>
      </c>
      <c r="M152" s="252">
        <f>(E152+F152)*G152*L152</f>
        <v>896</v>
      </c>
      <c r="N152" s="253">
        <f>M152*0.2</f>
        <v>179.20000000000002</v>
      </c>
      <c r="O152" s="239">
        <v>25</v>
      </c>
      <c r="P152" s="240">
        <f>(L152+O152)*H152+N152</f>
        <v>2675.2</v>
      </c>
      <c r="Q152" s="241">
        <f>I152*K152*9+250</f>
        <v>270.73599999999999</v>
      </c>
      <c r="R152" s="276">
        <f>D155+D156+D157</f>
        <v>6460.7999999999993</v>
      </c>
      <c r="S152" s="279">
        <v>0.5</v>
      </c>
      <c r="T152" s="263">
        <f>(P152+P153+R152)+((P152+P153+R152)*S152)+(Q152+Q153)</f>
        <v>15820.631679999999</v>
      </c>
      <c r="U152" s="266">
        <f>T152/C153</f>
        <v>988.78947999999991</v>
      </c>
    </row>
    <row r="153" spans="1:21" ht="15.75" thickBot="1" x14ac:dyDescent="0.3">
      <c r="A153" s="315"/>
      <c r="B153" s="88" t="s">
        <v>29</v>
      </c>
      <c r="C153" s="89">
        <v>16</v>
      </c>
      <c r="D153" s="43">
        <v>1</v>
      </c>
      <c r="E153" s="254">
        <f>C153/D153</f>
        <v>16</v>
      </c>
      <c r="F153" s="255">
        <v>0</v>
      </c>
      <c r="G153" s="255">
        <v>1</v>
      </c>
      <c r="H153" s="255">
        <f>(E153+F153)*G153</f>
        <v>16</v>
      </c>
      <c r="I153" s="90">
        <f>H153/4</f>
        <v>4</v>
      </c>
      <c r="J153" s="73">
        <v>130</v>
      </c>
      <c r="K153" s="58">
        <f>0.64*0.9*J153/1000</f>
        <v>7.4880000000000016E-2</v>
      </c>
      <c r="L153" s="46">
        <v>7</v>
      </c>
      <c r="M153" s="256">
        <f>(E153+F153)*L153</f>
        <v>112</v>
      </c>
      <c r="N153" s="257">
        <f>M153*0.2</f>
        <v>22.400000000000002</v>
      </c>
      <c r="O153" s="91">
        <v>25</v>
      </c>
      <c r="P153" s="50">
        <f>(L153+O153)*(H153+N153)</f>
        <v>1228.8000000000002</v>
      </c>
      <c r="Q153" s="76">
        <f>I153*K153*9</f>
        <v>2.6956800000000007</v>
      </c>
      <c r="R153" s="289"/>
      <c r="S153" s="291"/>
      <c r="T153" s="281"/>
      <c r="U153" s="283"/>
    </row>
    <row r="155" spans="1:21" x14ac:dyDescent="0.25">
      <c r="A155" s="8" t="s">
        <v>122</v>
      </c>
      <c r="B155" s="246">
        <f>H152+H153</f>
        <v>80</v>
      </c>
      <c r="C155" s="8">
        <v>9</v>
      </c>
      <c r="D155" s="8">
        <f>B155*C155</f>
        <v>720</v>
      </c>
    </row>
    <row r="156" spans="1:21" x14ac:dyDescent="0.25">
      <c r="A156" s="8" t="s">
        <v>130</v>
      </c>
      <c r="B156" s="246">
        <f>C153</f>
        <v>16</v>
      </c>
      <c r="C156" s="8">
        <v>150</v>
      </c>
      <c r="D156" s="8">
        <f>B156*C156</f>
        <v>2400</v>
      </c>
    </row>
    <row r="157" spans="1:21" x14ac:dyDescent="0.25">
      <c r="A157" s="8" t="s">
        <v>131</v>
      </c>
      <c r="B157" s="8">
        <f>C153*0.24</f>
        <v>3.84</v>
      </c>
      <c r="C157" s="8">
        <v>870</v>
      </c>
      <c r="D157" s="246">
        <f>B157*C157</f>
        <v>3340.7999999999997</v>
      </c>
    </row>
    <row r="158" spans="1:21" ht="15.75" thickBot="1" x14ac:dyDescent="0.3"/>
    <row r="159" spans="1:21" ht="75" x14ac:dyDescent="0.25">
      <c r="A159" s="303" t="s">
        <v>136</v>
      </c>
      <c r="B159" s="81"/>
      <c r="C159" s="82" t="s">
        <v>20</v>
      </c>
      <c r="D159" s="83" t="s">
        <v>2</v>
      </c>
      <c r="E159" s="84" t="s">
        <v>3</v>
      </c>
      <c r="F159" s="83" t="s">
        <v>4</v>
      </c>
      <c r="G159" s="83" t="s">
        <v>21</v>
      </c>
      <c r="H159" s="83" t="s">
        <v>22</v>
      </c>
      <c r="I159" s="85" t="s">
        <v>5</v>
      </c>
      <c r="J159" s="83" t="s">
        <v>6</v>
      </c>
      <c r="K159" s="83" t="s">
        <v>7</v>
      </c>
      <c r="L159" s="83" t="s">
        <v>8</v>
      </c>
      <c r="M159" s="83" t="s">
        <v>9</v>
      </c>
      <c r="N159" s="83" t="s">
        <v>36</v>
      </c>
      <c r="O159" s="83" t="s">
        <v>39</v>
      </c>
      <c r="P159" s="83" t="s">
        <v>40</v>
      </c>
      <c r="Q159" s="83" t="s">
        <v>15</v>
      </c>
      <c r="R159" s="86" t="s">
        <v>24</v>
      </c>
      <c r="S159" s="83" t="s">
        <v>25</v>
      </c>
      <c r="T159" s="83" t="s">
        <v>18</v>
      </c>
      <c r="U159" s="87" t="s">
        <v>26</v>
      </c>
    </row>
    <row r="160" spans="1:21" x14ac:dyDescent="0.25">
      <c r="A160" s="304"/>
      <c r="B160" s="80" t="s">
        <v>27</v>
      </c>
      <c r="C160" s="34">
        <v>51</v>
      </c>
      <c r="D160" s="35">
        <v>1</v>
      </c>
      <c r="E160" s="36">
        <f>C160/D160</f>
        <v>51</v>
      </c>
      <c r="F160" s="37">
        <v>0</v>
      </c>
      <c r="G160" s="37">
        <v>8</v>
      </c>
      <c r="H160" s="37">
        <f>(E160+F160)*G160</f>
        <v>408</v>
      </c>
      <c r="I160" s="11">
        <f>H160/4</f>
        <v>102</v>
      </c>
      <c r="J160" s="72">
        <v>130</v>
      </c>
      <c r="K160" s="13">
        <f>0.64*0.9*J160/1000</f>
        <v>7.4880000000000016E-2</v>
      </c>
      <c r="L160" s="38">
        <v>5</v>
      </c>
      <c r="M160" s="39">
        <f>H160*L160</f>
        <v>2040</v>
      </c>
      <c r="N160" s="41">
        <f>M160*0.2</f>
        <v>408</v>
      </c>
      <c r="O160" s="79">
        <v>50</v>
      </c>
      <c r="P160" s="42">
        <f>(L160+O160)*H160+N160</f>
        <v>22848</v>
      </c>
      <c r="Q160" s="75">
        <f>I160*K160*9+250</f>
        <v>318.73984000000002</v>
      </c>
      <c r="R160" s="306">
        <f>E162*9+C160*100</f>
        <v>5559</v>
      </c>
      <c r="S160" s="307">
        <v>0.3</v>
      </c>
      <c r="T160" s="308">
        <f>(P160+P162+P161+R160)+((P160+P162+P161+R160)*S160)+(Q160+Q161+Q162)</f>
        <v>45217.940320000002</v>
      </c>
      <c r="U160" s="309">
        <f>T160/C162</f>
        <v>886.62628078431374</v>
      </c>
    </row>
    <row r="161" spans="1:21" x14ac:dyDescent="0.25">
      <c r="A161" s="304"/>
      <c r="B161" s="80" t="s">
        <v>28</v>
      </c>
      <c r="C161" s="34">
        <v>51</v>
      </c>
      <c r="D161" s="35">
        <v>1</v>
      </c>
      <c r="E161" s="36">
        <f>C161/D161</f>
        <v>51</v>
      </c>
      <c r="F161" s="37">
        <v>0</v>
      </c>
      <c r="G161" s="37">
        <v>1</v>
      </c>
      <c r="H161" s="37">
        <f>(E161+F161)*G161</f>
        <v>51</v>
      </c>
      <c r="I161" s="11">
        <f>H161/4</f>
        <v>12.75</v>
      </c>
      <c r="J161" s="72">
        <v>120</v>
      </c>
      <c r="K161" s="13">
        <f>0.64*0.9*J161/1000</f>
        <v>6.9120000000000001E-2</v>
      </c>
      <c r="L161" s="38">
        <v>5</v>
      </c>
      <c r="M161" s="39">
        <f>H161*L161</f>
        <v>255</v>
      </c>
      <c r="N161" s="41">
        <f>M161*0.2</f>
        <v>51</v>
      </c>
      <c r="O161" s="79">
        <v>25</v>
      </c>
      <c r="P161" s="42">
        <f>(L161+O161)*(H161+N161)</f>
        <v>3060</v>
      </c>
      <c r="Q161" s="75">
        <f t="shared" ref="Q161" si="11">I161*K161*7</f>
        <v>6.1689600000000002</v>
      </c>
      <c r="R161" s="275"/>
      <c r="S161" s="278"/>
      <c r="T161" s="262"/>
      <c r="U161" s="265"/>
    </row>
    <row r="162" spans="1:21" ht="15.75" thickBot="1" x14ac:dyDescent="0.3">
      <c r="A162" s="305"/>
      <c r="B162" s="88" t="s">
        <v>29</v>
      </c>
      <c r="C162" s="89">
        <v>51</v>
      </c>
      <c r="D162" s="43">
        <v>1</v>
      </c>
      <c r="E162" s="44">
        <f>C162/D162</f>
        <v>51</v>
      </c>
      <c r="F162" s="45">
        <v>0</v>
      </c>
      <c r="G162" s="45">
        <v>1</v>
      </c>
      <c r="H162" s="45">
        <f>(E162+F162)*G162</f>
        <v>51</v>
      </c>
      <c r="I162" s="90">
        <f>H162/4</f>
        <v>12.75</v>
      </c>
      <c r="J162" s="73">
        <v>120</v>
      </c>
      <c r="K162" s="58">
        <f>0.64*0.9*J162/1000</f>
        <v>6.9120000000000001E-2</v>
      </c>
      <c r="L162" s="46">
        <v>5</v>
      </c>
      <c r="M162" s="47">
        <f>H162*L162</f>
        <v>255</v>
      </c>
      <c r="N162" s="49">
        <f>M162*0.2</f>
        <v>51</v>
      </c>
      <c r="O162" s="91">
        <v>25</v>
      </c>
      <c r="P162" s="50">
        <f>(L162+O162)*(H162+N162)</f>
        <v>3060</v>
      </c>
      <c r="Q162" s="76">
        <f>I162*K162*9</f>
        <v>7.9315200000000008</v>
      </c>
      <c r="R162" s="294"/>
      <c r="S162" s="295"/>
      <c r="T162" s="292"/>
      <c r="U162" s="293"/>
    </row>
    <row r="163" spans="1:21" ht="15.75" thickBot="1" x14ac:dyDescent="0.3"/>
    <row r="164" spans="1:21" ht="75.75" thickBot="1" x14ac:dyDescent="0.3">
      <c r="A164" s="313" t="s">
        <v>137</v>
      </c>
      <c r="B164" s="221" t="s">
        <v>129</v>
      </c>
      <c r="C164" s="222" t="s">
        <v>20</v>
      </c>
      <c r="D164" s="223" t="s">
        <v>2</v>
      </c>
      <c r="E164" s="224" t="s">
        <v>3</v>
      </c>
      <c r="F164" s="223" t="s">
        <v>4</v>
      </c>
      <c r="G164" s="223" t="s">
        <v>21</v>
      </c>
      <c r="H164" s="223" t="s">
        <v>22</v>
      </c>
      <c r="I164" s="225" t="s">
        <v>5</v>
      </c>
      <c r="J164" s="223" t="s">
        <v>6</v>
      </c>
      <c r="K164" s="223" t="s">
        <v>7</v>
      </c>
      <c r="L164" s="223" t="s">
        <v>8</v>
      </c>
      <c r="M164" s="223" t="s">
        <v>9</v>
      </c>
      <c r="N164" s="223" t="s">
        <v>36</v>
      </c>
      <c r="O164" s="223" t="s">
        <v>39</v>
      </c>
      <c r="P164" s="223" t="s">
        <v>40</v>
      </c>
      <c r="Q164" s="223" t="s">
        <v>15</v>
      </c>
      <c r="R164" s="226" t="s">
        <v>24</v>
      </c>
      <c r="S164" s="223" t="s">
        <v>25</v>
      </c>
      <c r="T164" s="223" t="s">
        <v>18</v>
      </c>
      <c r="U164" s="227" t="s">
        <v>26</v>
      </c>
    </row>
    <row r="165" spans="1:21" x14ac:dyDescent="0.25">
      <c r="A165" s="314"/>
      <c r="B165" s="228" t="s">
        <v>27</v>
      </c>
      <c r="C165" s="229">
        <v>23</v>
      </c>
      <c r="D165" s="230">
        <v>1</v>
      </c>
      <c r="E165" s="250">
        <f>C165/D165</f>
        <v>23</v>
      </c>
      <c r="F165" s="251">
        <v>0</v>
      </c>
      <c r="G165" s="251">
        <v>6</v>
      </c>
      <c r="H165" s="251">
        <f>(E165+F165)*G165</f>
        <v>138</v>
      </c>
      <c r="I165" s="233">
        <f>H165/4</f>
        <v>34.5</v>
      </c>
      <c r="J165" s="234">
        <v>250</v>
      </c>
      <c r="K165" s="235">
        <f>0.64*0.9*J165/1000</f>
        <v>0.14400000000000002</v>
      </c>
      <c r="L165" s="236">
        <v>14</v>
      </c>
      <c r="M165" s="252">
        <f>(E165+F165)*G165*L165</f>
        <v>1932</v>
      </c>
      <c r="N165" s="253">
        <f>M165*0.2</f>
        <v>386.40000000000003</v>
      </c>
      <c r="O165" s="239">
        <v>25</v>
      </c>
      <c r="P165" s="240">
        <f>(L165+O165)*H165+N165</f>
        <v>5768.4</v>
      </c>
      <c r="Q165" s="241">
        <f>I165*K165*9+250</f>
        <v>294.71199999999999</v>
      </c>
      <c r="R165" s="276">
        <f>D168+D169+D170</f>
        <v>9701.4</v>
      </c>
      <c r="S165" s="279">
        <v>0.5</v>
      </c>
      <c r="T165" s="263">
        <f>(P165+P166+R165)+((P165+P166+R165)*S165)+(Q165+Q166)</f>
        <v>26152.887039999994</v>
      </c>
      <c r="U165" s="266">
        <f>T165/C166</f>
        <v>1137.0820452173909</v>
      </c>
    </row>
    <row r="166" spans="1:21" ht="15.75" thickBot="1" x14ac:dyDescent="0.3">
      <c r="A166" s="315"/>
      <c r="B166" s="88" t="s">
        <v>29</v>
      </c>
      <c r="C166" s="89">
        <v>23</v>
      </c>
      <c r="D166" s="43">
        <v>1</v>
      </c>
      <c r="E166" s="254">
        <f>C166/D166</f>
        <v>23</v>
      </c>
      <c r="F166" s="255">
        <v>0</v>
      </c>
      <c r="G166" s="255">
        <v>1</v>
      </c>
      <c r="H166" s="255">
        <f>(E166+F166)*G166</f>
        <v>23</v>
      </c>
      <c r="I166" s="90">
        <f>H166/4</f>
        <v>5.75</v>
      </c>
      <c r="J166" s="73">
        <v>130</v>
      </c>
      <c r="K166" s="58">
        <f>0.64*0.9*J166/1000</f>
        <v>7.4880000000000016E-2</v>
      </c>
      <c r="L166" s="46">
        <v>7</v>
      </c>
      <c r="M166" s="256">
        <f>(E166+F166)*L166</f>
        <v>161</v>
      </c>
      <c r="N166" s="257">
        <f>M166*0.2</f>
        <v>32.200000000000003</v>
      </c>
      <c r="O166" s="91">
        <v>25</v>
      </c>
      <c r="P166" s="50">
        <f>(L166+O166)*(H166+N166)</f>
        <v>1766.4</v>
      </c>
      <c r="Q166" s="76">
        <f>I166*K166*9</f>
        <v>3.8750400000000012</v>
      </c>
      <c r="R166" s="289"/>
      <c r="S166" s="291"/>
      <c r="T166" s="281"/>
      <c r="U166" s="283"/>
    </row>
    <row r="168" spans="1:21" x14ac:dyDescent="0.25">
      <c r="A168" s="8" t="s">
        <v>122</v>
      </c>
      <c r="B168" s="246">
        <f>H165+H166</f>
        <v>161</v>
      </c>
      <c r="C168" s="8">
        <v>9</v>
      </c>
      <c r="D168" s="8">
        <f>B168*C168</f>
        <v>1449</v>
      </c>
    </row>
    <row r="169" spans="1:21" x14ac:dyDescent="0.25">
      <c r="A169" s="8" t="s">
        <v>130</v>
      </c>
      <c r="B169" s="246">
        <f>C166</f>
        <v>23</v>
      </c>
      <c r="C169" s="8">
        <v>150</v>
      </c>
      <c r="D169" s="8">
        <f>B169*C169</f>
        <v>3450</v>
      </c>
    </row>
    <row r="170" spans="1:21" x14ac:dyDescent="0.25">
      <c r="A170" s="8" t="s">
        <v>131</v>
      </c>
      <c r="B170" s="8">
        <f>C166*0.24</f>
        <v>5.52</v>
      </c>
      <c r="C170" s="8">
        <v>870</v>
      </c>
      <c r="D170" s="246">
        <f>B170*C170</f>
        <v>4802.3999999999996</v>
      </c>
    </row>
    <row r="171" spans="1:21" ht="15.75" thickBot="1" x14ac:dyDescent="0.3"/>
    <row r="172" spans="1:21" ht="75" x14ac:dyDescent="0.25">
      <c r="A172" s="303" t="s">
        <v>139</v>
      </c>
      <c r="B172" s="81"/>
      <c r="C172" s="82" t="s">
        <v>20</v>
      </c>
      <c r="D172" s="83" t="s">
        <v>2</v>
      </c>
      <c r="E172" s="84" t="s">
        <v>3</v>
      </c>
      <c r="F172" s="83" t="s">
        <v>4</v>
      </c>
      <c r="G172" s="83" t="s">
        <v>21</v>
      </c>
      <c r="H172" s="83" t="s">
        <v>22</v>
      </c>
      <c r="I172" s="85" t="s">
        <v>5</v>
      </c>
      <c r="J172" s="83" t="s">
        <v>6</v>
      </c>
      <c r="K172" s="83" t="s">
        <v>7</v>
      </c>
      <c r="L172" s="83" t="s">
        <v>8</v>
      </c>
      <c r="M172" s="83" t="s">
        <v>9</v>
      </c>
      <c r="N172" s="83" t="s">
        <v>36</v>
      </c>
      <c r="O172" s="83" t="s">
        <v>39</v>
      </c>
      <c r="P172" s="83" t="s">
        <v>40</v>
      </c>
      <c r="Q172" s="83" t="s">
        <v>15</v>
      </c>
      <c r="R172" s="86" t="s">
        <v>24</v>
      </c>
      <c r="S172" s="83" t="s">
        <v>25</v>
      </c>
      <c r="T172" s="83" t="s">
        <v>18</v>
      </c>
      <c r="U172" s="87" t="s">
        <v>26</v>
      </c>
    </row>
    <row r="173" spans="1:21" x14ac:dyDescent="0.25">
      <c r="A173" s="304"/>
      <c r="B173" s="80" t="s">
        <v>27</v>
      </c>
      <c r="C173" s="34">
        <v>11</v>
      </c>
      <c r="D173" s="35">
        <v>1</v>
      </c>
      <c r="E173" s="36">
        <f>C173/D173</f>
        <v>11</v>
      </c>
      <c r="F173" s="37">
        <v>0</v>
      </c>
      <c r="G173" s="37">
        <v>110</v>
      </c>
      <c r="H173" s="37">
        <f>(E173+F173)*G173</f>
        <v>1210</v>
      </c>
      <c r="I173" s="11">
        <f>H173/4</f>
        <v>302.5</v>
      </c>
      <c r="J173" s="72">
        <v>80</v>
      </c>
      <c r="K173" s="13">
        <f>0.64*0.9*J173/1000</f>
        <v>4.6080000000000003E-2</v>
      </c>
      <c r="L173" s="38">
        <v>3</v>
      </c>
      <c r="M173" s="39">
        <f>H173*L173</f>
        <v>3630</v>
      </c>
      <c r="N173" s="41">
        <f>M173*0.2</f>
        <v>726</v>
      </c>
      <c r="O173" s="79">
        <v>50</v>
      </c>
      <c r="P173" s="42">
        <f>(L173+O173)*H173+N173</f>
        <v>64856</v>
      </c>
      <c r="Q173" s="75">
        <f>I173*K173*9</f>
        <v>125.45280000000001</v>
      </c>
      <c r="R173" s="306">
        <f>C174*9+C174*150+2400</f>
        <v>4149</v>
      </c>
      <c r="S173" s="307">
        <v>0.3</v>
      </c>
      <c r="T173" s="308">
        <f>(P173+P175+P174+R173)+((P173+P175+P174+R173)*S173)+(Q173+Q174+Q175)</f>
        <v>90981.22752</v>
      </c>
      <c r="U173" s="309">
        <f>T173/C174</f>
        <v>8271.0206836363632</v>
      </c>
    </row>
    <row r="174" spans="1:21" x14ac:dyDescent="0.25">
      <c r="A174" s="304"/>
      <c r="B174" s="80" t="s">
        <v>29</v>
      </c>
      <c r="C174" s="34">
        <v>11</v>
      </c>
      <c r="D174" s="35">
        <v>1</v>
      </c>
      <c r="E174" s="36">
        <f>C174/D174</f>
        <v>11</v>
      </c>
      <c r="F174" s="37">
        <v>0</v>
      </c>
      <c r="G174" s="37">
        <v>1</v>
      </c>
      <c r="H174" s="37">
        <f>(E174+F174)*G174</f>
        <v>11</v>
      </c>
      <c r="I174" s="11">
        <f>H174/4</f>
        <v>2.75</v>
      </c>
      <c r="J174" s="72">
        <v>130</v>
      </c>
      <c r="K174" s="13">
        <f>0.64*0.9*J174/1000</f>
        <v>7.4880000000000016E-2</v>
      </c>
      <c r="L174" s="38">
        <v>5</v>
      </c>
      <c r="M174" s="39">
        <f>H174*L174</f>
        <v>55</v>
      </c>
      <c r="N174" s="41">
        <f>M174*0.2</f>
        <v>11</v>
      </c>
      <c r="O174" s="79">
        <v>25</v>
      </c>
      <c r="P174" s="42">
        <f>(L174+O174)*(H174+N174)</f>
        <v>660</v>
      </c>
      <c r="Q174" s="75">
        <f>I174*K174*9</f>
        <v>1.8532800000000005</v>
      </c>
      <c r="R174" s="275"/>
      <c r="S174" s="278"/>
      <c r="T174" s="262"/>
      <c r="U174" s="265"/>
    </row>
    <row r="175" spans="1:21" ht="15.75" thickBot="1" x14ac:dyDescent="0.3">
      <c r="A175" s="305"/>
      <c r="B175" s="88" t="s">
        <v>28</v>
      </c>
      <c r="C175" s="89">
        <v>22</v>
      </c>
      <c r="D175" s="43">
        <v>1</v>
      </c>
      <c r="E175" s="44">
        <f>C175/D175</f>
        <v>22</v>
      </c>
      <c r="F175" s="45">
        <v>0</v>
      </c>
      <c r="G175" s="45">
        <v>1</v>
      </c>
      <c r="H175" s="45">
        <f>(E175+F175)*G175</f>
        <v>22</v>
      </c>
      <c r="I175" s="90">
        <f>H175/4</f>
        <v>5.5</v>
      </c>
      <c r="J175" s="73">
        <v>120</v>
      </c>
      <c r="K175" s="58">
        <f>0.64*0.9*J175/1000</f>
        <v>6.9120000000000001E-2</v>
      </c>
      <c r="L175" s="46">
        <v>5</v>
      </c>
      <c r="M175" s="47">
        <f>H175*L175</f>
        <v>110</v>
      </c>
      <c r="N175" s="49">
        <f>M175*0.2</f>
        <v>22</v>
      </c>
      <c r="O175" s="91">
        <v>0</v>
      </c>
      <c r="P175" s="50">
        <f>(L175+O175)*(H175+N175)</f>
        <v>220</v>
      </c>
      <c r="Q175" s="76">
        <f>I175*K175*9</f>
        <v>3.42144</v>
      </c>
      <c r="R175" s="294"/>
      <c r="S175" s="295"/>
      <c r="T175" s="292"/>
      <c r="U175" s="293"/>
    </row>
    <row r="176" spans="1:21" ht="75" x14ac:dyDescent="0.25">
      <c r="A176" s="303" t="s">
        <v>140</v>
      </c>
      <c r="B176" s="81"/>
      <c r="C176" s="82" t="s">
        <v>20</v>
      </c>
      <c r="D176" s="83" t="s">
        <v>2</v>
      </c>
      <c r="E176" s="84" t="s">
        <v>3</v>
      </c>
      <c r="F176" s="83" t="s">
        <v>4</v>
      </c>
      <c r="G176" s="83" t="s">
        <v>21</v>
      </c>
      <c r="H176" s="83" t="s">
        <v>22</v>
      </c>
      <c r="I176" s="85" t="s">
        <v>5</v>
      </c>
      <c r="J176" s="83" t="s">
        <v>6</v>
      </c>
      <c r="K176" s="83" t="s">
        <v>7</v>
      </c>
      <c r="L176" s="83" t="s">
        <v>8</v>
      </c>
      <c r="M176" s="83" t="s">
        <v>9</v>
      </c>
      <c r="N176" s="83" t="s">
        <v>36</v>
      </c>
      <c r="O176" s="83" t="s">
        <v>39</v>
      </c>
      <c r="P176" s="83" t="s">
        <v>40</v>
      </c>
      <c r="Q176" s="83" t="s">
        <v>15</v>
      </c>
      <c r="R176" s="86" t="s">
        <v>24</v>
      </c>
      <c r="S176" s="83" t="s">
        <v>25</v>
      </c>
      <c r="T176" s="83" t="s">
        <v>18</v>
      </c>
      <c r="U176" s="87" t="s">
        <v>26</v>
      </c>
    </row>
    <row r="177" spans="1:21" x14ac:dyDescent="0.25">
      <c r="A177" s="304"/>
      <c r="B177" s="80" t="s">
        <v>27</v>
      </c>
      <c r="C177" s="34">
        <v>4</v>
      </c>
      <c r="D177" s="35">
        <v>1</v>
      </c>
      <c r="E177" s="36">
        <f>C177/D177</f>
        <v>4</v>
      </c>
      <c r="F177" s="37">
        <v>0</v>
      </c>
      <c r="G177" s="37">
        <v>110</v>
      </c>
      <c r="H177" s="37">
        <f>(E177+F177)*G177</f>
        <v>440</v>
      </c>
      <c r="I177" s="11">
        <f>H177/4</f>
        <v>110</v>
      </c>
      <c r="J177" s="72">
        <v>80</v>
      </c>
      <c r="K177" s="13">
        <f>0.64*0.9*J177/1000</f>
        <v>4.6080000000000003E-2</v>
      </c>
      <c r="L177" s="38">
        <v>3</v>
      </c>
      <c r="M177" s="39">
        <f>H177*L177</f>
        <v>1320</v>
      </c>
      <c r="N177" s="41">
        <f>M177*0.2</f>
        <v>264</v>
      </c>
      <c r="O177" s="79">
        <v>35</v>
      </c>
      <c r="P177" s="42">
        <f>(L177+O177)*H177+N177</f>
        <v>16984</v>
      </c>
      <c r="Q177" s="75">
        <f>I177*K177*9</f>
        <v>45.619200000000006</v>
      </c>
      <c r="R177" s="306">
        <f>C178*9+C178*150+2400</f>
        <v>3036</v>
      </c>
      <c r="S177" s="307">
        <v>0.3</v>
      </c>
      <c r="T177" s="308">
        <f>(P177+P179+P178+R177)+((P177+P179+P178+R177)*S177)+(Q177+Q178+Q179)</f>
        <v>26489.53728</v>
      </c>
      <c r="U177" s="309">
        <f>T177/C178</f>
        <v>6622.3843200000001</v>
      </c>
    </row>
    <row r="178" spans="1:21" x14ac:dyDescent="0.25">
      <c r="A178" s="304"/>
      <c r="B178" s="80" t="s">
        <v>29</v>
      </c>
      <c r="C178" s="34">
        <v>4</v>
      </c>
      <c r="D178" s="35">
        <v>1</v>
      </c>
      <c r="E178" s="36">
        <f>C178/D178</f>
        <v>4</v>
      </c>
      <c r="F178" s="37">
        <v>0</v>
      </c>
      <c r="G178" s="37">
        <v>1</v>
      </c>
      <c r="H178" s="37">
        <f>(E178+F178)*G178</f>
        <v>4</v>
      </c>
      <c r="I178" s="11">
        <f>H178/4</f>
        <v>1</v>
      </c>
      <c r="J178" s="72">
        <v>130</v>
      </c>
      <c r="K178" s="13">
        <f>0.64*0.9*J178/1000</f>
        <v>7.4880000000000016E-2</v>
      </c>
      <c r="L178" s="38">
        <v>5</v>
      </c>
      <c r="M178" s="39">
        <f>H178*L178</f>
        <v>20</v>
      </c>
      <c r="N178" s="41">
        <f>M178*0.2</f>
        <v>4</v>
      </c>
      <c r="O178" s="79">
        <v>25</v>
      </c>
      <c r="P178" s="42">
        <f>(L178+O178)*(H178+N178)</f>
        <v>240</v>
      </c>
      <c r="Q178" s="75">
        <f>I178*K178*9</f>
        <v>0.67392000000000019</v>
      </c>
      <c r="R178" s="275"/>
      <c r="S178" s="278"/>
      <c r="T178" s="262"/>
      <c r="U178" s="265"/>
    </row>
    <row r="179" spans="1:21" ht="15.75" thickBot="1" x14ac:dyDescent="0.3">
      <c r="A179" s="305"/>
      <c r="B179" s="88" t="s">
        <v>28</v>
      </c>
      <c r="C179" s="89">
        <v>8</v>
      </c>
      <c r="D179" s="43">
        <v>1</v>
      </c>
      <c r="E179" s="44">
        <f>C179/D179</f>
        <v>8</v>
      </c>
      <c r="F179" s="45">
        <v>0</v>
      </c>
      <c r="G179" s="45">
        <v>1</v>
      </c>
      <c r="H179" s="45">
        <f>(E179+F179)*G179</f>
        <v>8</v>
      </c>
      <c r="I179" s="90">
        <f>H179/4</f>
        <v>2</v>
      </c>
      <c r="J179" s="73">
        <v>120</v>
      </c>
      <c r="K179" s="58">
        <f>0.64*0.9*J179/1000</f>
        <v>6.9120000000000001E-2</v>
      </c>
      <c r="L179" s="46">
        <v>5</v>
      </c>
      <c r="M179" s="47">
        <f>H179*L179</f>
        <v>40</v>
      </c>
      <c r="N179" s="49">
        <f>M179*0.2</f>
        <v>8</v>
      </c>
      <c r="O179" s="91">
        <v>0</v>
      </c>
      <c r="P179" s="50">
        <f>(L179+O179)*(H179+N179)</f>
        <v>80</v>
      </c>
      <c r="Q179" s="76">
        <f>I179*K179*9</f>
        <v>1.2441599999999999</v>
      </c>
      <c r="R179" s="294"/>
      <c r="S179" s="295"/>
      <c r="T179" s="292"/>
      <c r="U179" s="293"/>
    </row>
    <row r="180" spans="1:21" ht="75" x14ac:dyDescent="0.25">
      <c r="A180" s="303" t="s">
        <v>138</v>
      </c>
      <c r="B180" s="81"/>
      <c r="C180" s="82" t="s">
        <v>20</v>
      </c>
      <c r="D180" s="83" t="s">
        <v>2</v>
      </c>
      <c r="E180" s="84" t="s">
        <v>3</v>
      </c>
      <c r="F180" s="83" t="s">
        <v>4</v>
      </c>
      <c r="G180" s="83" t="s">
        <v>21</v>
      </c>
      <c r="H180" s="83" t="s">
        <v>22</v>
      </c>
      <c r="I180" s="85" t="s">
        <v>5</v>
      </c>
      <c r="J180" s="83" t="s">
        <v>6</v>
      </c>
      <c r="K180" s="83" t="s">
        <v>7</v>
      </c>
      <c r="L180" s="83" t="s">
        <v>8</v>
      </c>
      <c r="M180" s="83" t="s">
        <v>9</v>
      </c>
      <c r="N180" s="83" t="s">
        <v>36</v>
      </c>
      <c r="O180" s="83" t="s">
        <v>39</v>
      </c>
      <c r="P180" s="83" t="s">
        <v>40</v>
      </c>
      <c r="Q180" s="83" t="s">
        <v>15</v>
      </c>
      <c r="R180" s="86" t="s">
        <v>24</v>
      </c>
      <c r="S180" s="83" t="s">
        <v>25</v>
      </c>
      <c r="T180" s="83" t="s">
        <v>18</v>
      </c>
      <c r="U180" s="87" t="s">
        <v>26</v>
      </c>
    </row>
    <row r="181" spans="1:21" x14ac:dyDescent="0.25">
      <c r="A181" s="304"/>
      <c r="B181" s="80" t="s">
        <v>27</v>
      </c>
      <c r="C181" s="34">
        <v>2</v>
      </c>
      <c r="D181" s="35">
        <v>1</v>
      </c>
      <c r="E181" s="36">
        <f>C181/D181</f>
        <v>2</v>
      </c>
      <c r="F181" s="37">
        <v>0</v>
      </c>
      <c r="G181" s="37">
        <v>91</v>
      </c>
      <c r="H181" s="37">
        <f>(E181+F181)*G181</f>
        <v>182</v>
      </c>
      <c r="I181" s="11">
        <f>H181/4</f>
        <v>45.5</v>
      </c>
      <c r="J181" s="72">
        <v>80</v>
      </c>
      <c r="K181" s="13">
        <f>0.64*0.9*J181/1000</f>
        <v>4.6080000000000003E-2</v>
      </c>
      <c r="L181" s="38">
        <v>3</v>
      </c>
      <c r="M181" s="39">
        <f>H181*L181</f>
        <v>546</v>
      </c>
      <c r="N181" s="41">
        <f>M181*0.2</f>
        <v>109.2</v>
      </c>
      <c r="O181" s="79">
        <v>35</v>
      </c>
      <c r="P181" s="42">
        <f>(L181+O181)*H181+N181</f>
        <v>7025.2</v>
      </c>
      <c r="Q181" s="75">
        <f>I181*K181*9</f>
        <v>18.869760000000003</v>
      </c>
      <c r="R181" s="306">
        <f>C182*9+C182*150</f>
        <v>318</v>
      </c>
      <c r="S181" s="307">
        <v>0.3</v>
      </c>
      <c r="T181" s="308">
        <f>(P181+P183+P182+R181)+((P181+P183+P182+R181)*S181)+(Q181+Q182+Q183)</f>
        <v>9773.9887999999992</v>
      </c>
      <c r="U181" s="309">
        <f>T181/C182</f>
        <v>4886.9943999999996</v>
      </c>
    </row>
    <row r="182" spans="1:21" x14ac:dyDescent="0.25">
      <c r="A182" s="304"/>
      <c r="B182" s="80" t="s">
        <v>29</v>
      </c>
      <c r="C182" s="34">
        <v>2</v>
      </c>
      <c r="D182" s="35">
        <v>1</v>
      </c>
      <c r="E182" s="36">
        <f>C182/D182</f>
        <v>2</v>
      </c>
      <c r="F182" s="37">
        <v>0</v>
      </c>
      <c r="G182" s="37">
        <v>1</v>
      </c>
      <c r="H182" s="37">
        <f>(E182+F182)*G182</f>
        <v>2</v>
      </c>
      <c r="I182" s="11">
        <f>H182/4</f>
        <v>0.5</v>
      </c>
      <c r="J182" s="72">
        <v>130</v>
      </c>
      <c r="K182" s="13">
        <f>0.64*0.9*J182/1000</f>
        <v>7.4880000000000016E-2</v>
      </c>
      <c r="L182" s="38">
        <v>5</v>
      </c>
      <c r="M182" s="39">
        <f>H182*L182</f>
        <v>10</v>
      </c>
      <c r="N182" s="41">
        <f>M182*0.2</f>
        <v>2</v>
      </c>
      <c r="O182" s="79">
        <v>25</v>
      </c>
      <c r="P182" s="42">
        <f>(L182+O182)*(H182+N182)</f>
        <v>120</v>
      </c>
      <c r="Q182" s="75">
        <f>I182*K182*9</f>
        <v>0.33696000000000009</v>
      </c>
      <c r="R182" s="275"/>
      <c r="S182" s="278"/>
      <c r="T182" s="262"/>
      <c r="U182" s="265"/>
    </row>
    <row r="183" spans="1:21" ht="15.75" thickBot="1" x14ac:dyDescent="0.3">
      <c r="A183" s="305"/>
      <c r="B183" s="88" t="s">
        <v>28</v>
      </c>
      <c r="C183" s="89">
        <v>4</v>
      </c>
      <c r="D183" s="43">
        <v>1</v>
      </c>
      <c r="E183" s="44">
        <f>C183/D183</f>
        <v>4</v>
      </c>
      <c r="F183" s="45">
        <v>0</v>
      </c>
      <c r="G183" s="45">
        <v>1</v>
      </c>
      <c r="H183" s="45">
        <f>(E183+F183)*G183</f>
        <v>4</v>
      </c>
      <c r="I183" s="90">
        <f>H183/4</f>
        <v>1</v>
      </c>
      <c r="J183" s="73">
        <v>120</v>
      </c>
      <c r="K183" s="58">
        <f>0.64*0.9*J183/1000</f>
        <v>6.9120000000000001E-2</v>
      </c>
      <c r="L183" s="46">
        <v>5</v>
      </c>
      <c r="M183" s="47">
        <f>H183*L183</f>
        <v>20</v>
      </c>
      <c r="N183" s="49">
        <f>M183*0.2</f>
        <v>4</v>
      </c>
      <c r="O183" s="91">
        <v>0</v>
      </c>
      <c r="P183" s="50">
        <f>(L183+O183)*(H183+N183)</f>
        <v>40</v>
      </c>
      <c r="Q183" s="76">
        <f>I183*K183*9</f>
        <v>0.62207999999999997</v>
      </c>
      <c r="R183" s="294"/>
      <c r="S183" s="295"/>
      <c r="T183" s="292"/>
      <c r="U183" s="293"/>
    </row>
    <row r="184" spans="1:21" ht="75" x14ac:dyDescent="0.25">
      <c r="A184" s="303" t="s">
        <v>138</v>
      </c>
      <c r="B184" s="81"/>
      <c r="C184" s="82" t="s">
        <v>20</v>
      </c>
      <c r="D184" s="83" t="s">
        <v>2</v>
      </c>
      <c r="E184" s="84" t="s">
        <v>3</v>
      </c>
      <c r="F184" s="83" t="s">
        <v>4</v>
      </c>
      <c r="G184" s="83" t="s">
        <v>21</v>
      </c>
      <c r="H184" s="83" t="s">
        <v>22</v>
      </c>
      <c r="I184" s="85" t="s">
        <v>5</v>
      </c>
      <c r="J184" s="83" t="s">
        <v>6</v>
      </c>
      <c r="K184" s="83" t="s">
        <v>7</v>
      </c>
      <c r="L184" s="83" t="s">
        <v>8</v>
      </c>
      <c r="M184" s="83" t="s">
        <v>9</v>
      </c>
      <c r="N184" s="83" t="s">
        <v>36</v>
      </c>
      <c r="O184" s="83" t="s">
        <v>39</v>
      </c>
      <c r="P184" s="83" t="s">
        <v>40</v>
      </c>
      <c r="Q184" s="83" t="s">
        <v>15</v>
      </c>
      <c r="R184" s="86" t="s">
        <v>24</v>
      </c>
      <c r="S184" s="83" t="s">
        <v>25</v>
      </c>
      <c r="T184" s="83" t="s">
        <v>18</v>
      </c>
      <c r="U184" s="87" t="s">
        <v>26</v>
      </c>
    </row>
    <row r="185" spans="1:21" x14ac:dyDescent="0.25">
      <c r="A185" s="304"/>
      <c r="B185" s="80" t="s">
        <v>27</v>
      </c>
      <c r="C185" s="34">
        <v>2</v>
      </c>
      <c r="D185" s="35">
        <v>1</v>
      </c>
      <c r="E185" s="36">
        <f>C185/D185</f>
        <v>2</v>
      </c>
      <c r="F185" s="37">
        <v>0</v>
      </c>
      <c r="G185" s="37">
        <v>91</v>
      </c>
      <c r="H185" s="37">
        <f>(E185+F185)*G185</f>
        <v>182</v>
      </c>
      <c r="I185" s="11">
        <f>H185/4</f>
        <v>45.5</v>
      </c>
      <c r="J185" s="72">
        <v>130</v>
      </c>
      <c r="K185" s="13">
        <f>0.64*0.9*J185/1000</f>
        <v>7.4880000000000016E-2</v>
      </c>
      <c r="L185" s="38">
        <v>5</v>
      </c>
      <c r="M185" s="39">
        <f>H185*L185</f>
        <v>910</v>
      </c>
      <c r="N185" s="41">
        <f>M185*0.2</f>
        <v>182</v>
      </c>
      <c r="O185" s="79">
        <v>35</v>
      </c>
      <c r="P185" s="42">
        <f>(L185+O185)*H185+N185</f>
        <v>7462</v>
      </c>
      <c r="Q185" s="75">
        <f>I185*K185*9</f>
        <v>30.663360000000008</v>
      </c>
      <c r="R185" s="306">
        <f>C186*9+C186*150</f>
        <v>318</v>
      </c>
      <c r="S185" s="307">
        <v>0.3</v>
      </c>
      <c r="T185" s="308">
        <f>(P185+P187+P186+R185)+((P185+P187+P186+R185)*S185)+(Q185+Q186+Q187)</f>
        <v>10366.77792</v>
      </c>
      <c r="U185" s="309">
        <f>T185/C186</f>
        <v>5183.3889600000002</v>
      </c>
    </row>
    <row r="186" spans="1:21" x14ac:dyDescent="0.25">
      <c r="A186" s="304"/>
      <c r="B186" s="80" t="s">
        <v>29</v>
      </c>
      <c r="C186" s="34">
        <v>2</v>
      </c>
      <c r="D186" s="35">
        <v>1</v>
      </c>
      <c r="E186" s="36">
        <f>C186/D186</f>
        <v>2</v>
      </c>
      <c r="F186" s="37">
        <v>0</v>
      </c>
      <c r="G186" s="37">
        <v>1</v>
      </c>
      <c r="H186" s="37">
        <f>(E186+F186)*G186</f>
        <v>2</v>
      </c>
      <c r="I186" s="11">
        <f>H186/4</f>
        <v>0.5</v>
      </c>
      <c r="J186" s="72">
        <v>130</v>
      </c>
      <c r="K186" s="13">
        <f>0.64*0.9*J186/1000</f>
        <v>7.4880000000000016E-2</v>
      </c>
      <c r="L186" s="38">
        <v>5</v>
      </c>
      <c r="M186" s="39">
        <f>H186*L186</f>
        <v>10</v>
      </c>
      <c r="N186" s="41">
        <f>M186*0.2</f>
        <v>2</v>
      </c>
      <c r="O186" s="79">
        <v>25</v>
      </c>
      <c r="P186" s="42">
        <f>(L186+O186)*(H186+N186)</f>
        <v>120</v>
      </c>
      <c r="Q186" s="75">
        <f>I186*K186*9</f>
        <v>0.33696000000000009</v>
      </c>
      <c r="R186" s="275"/>
      <c r="S186" s="278"/>
      <c r="T186" s="262"/>
      <c r="U186" s="265"/>
    </row>
    <row r="187" spans="1:21" ht="15.75" thickBot="1" x14ac:dyDescent="0.3">
      <c r="A187" s="305"/>
      <c r="B187" s="88" t="s">
        <v>28</v>
      </c>
      <c r="C187" s="89">
        <v>5</v>
      </c>
      <c r="D187" s="43">
        <v>1</v>
      </c>
      <c r="E187" s="44">
        <f>C187/D187</f>
        <v>5</v>
      </c>
      <c r="F187" s="45">
        <v>0</v>
      </c>
      <c r="G187" s="45">
        <v>1</v>
      </c>
      <c r="H187" s="45">
        <f>(E187+F187)*G187</f>
        <v>5</v>
      </c>
      <c r="I187" s="90">
        <f>H187/4</f>
        <v>1.25</v>
      </c>
      <c r="J187" s="73">
        <v>120</v>
      </c>
      <c r="K187" s="58">
        <f>0.64*0.9*J187/1000</f>
        <v>6.9120000000000001E-2</v>
      </c>
      <c r="L187" s="46">
        <v>5</v>
      </c>
      <c r="M187" s="47">
        <f>H187*L187</f>
        <v>25</v>
      </c>
      <c r="N187" s="49">
        <f>M187*0.2</f>
        <v>5</v>
      </c>
      <c r="O187" s="91">
        <v>0</v>
      </c>
      <c r="P187" s="50">
        <f>(L187+O187)*(H187+N187)</f>
        <v>50</v>
      </c>
      <c r="Q187" s="76">
        <f>I187*K187*9</f>
        <v>0.77760000000000007</v>
      </c>
      <c r="R187" s="294"/>
      <c r="S187" s="295"/>
      <c r="T187" s="292"/>
      <c r="U187" s="293"/>
    </row>
    <row r="188" spans="1:21" ht="75" x14ac:dyDescent="0.25">
      <c r="A188" s="310" t="s">
        <v>141</v>
      </c>
      <c r="B188" s="81"/>
      <c r="C188" s="82" t="s">
        <v>20</v>
      </c>
      <c r="D188" s="83" t="s">
        <v>2</v>
      </c>
      <c r="E188" s="84" t="s">
        <v>3</v>
      </c>
      <c r="F188" s="83" t="s">
        <v>4</v>
      </c>
      <c r="G188" s="83" t="s">
        <v>21</v>
      </c>
      <c r="H188" s="83" t="s">
        <v>22</v>
      </c>
      <c r="I188" s="85" t="s">
        <v>5</v>
      </c>
      <c r="J188" s="83" t="s">
        <v>6</v>
      </c>
      <c r="K188" s="83" t="s">
        <v>7</v>
      </c>
      <c r="L188" s="83" t="s">
        <v>8</v>
      </c>
      <c r="M188" s="83" t="s">
        <v>9</v>
      </c>
      <c r="N188" s="83" t="s">
        <v>36</v>
      </c>
      <c r="O188" s="83" t="s">
        <v>39</v>
      </c>
      <c r="P188" s="83" t="s">
        <v>40</v>
      </c>
      <c r="Q188" s="83" t="s">
        <v>15</v>
      </c>
      <c r="R188" s="86" t="s">
        <v>24</v>
      </c>
      <c r="S188" s="83" t="s">
        <v>25</v>
      </c>
      <c r="T188" s="83" t="s">
        <v>18</v>
      </c>
      <c r="U188" s="87" t="s">
        <v>26</v>
      </c>
    </row>
    <row r="189" spans="1:21" x14ac:dyDescent="0.25">
      <c r="A189" s="311"/>
      <c r="B189" s="80" t="s">
        <v>27</v>
      </c>
      <c r="C189" s="34">
        <v>1000</v>
      </c>
      <c r="D189" s="35">
        <v>1</v>
      </c>
      <c r="E189" s="36">
        <f>C189/D189</f>
        <v>1000</v>
      </c>
      <c r="F189" s="37">
        <v>0</v>
      </c>
      <c r="G189" s="37">
        <v>1</v>
      </c>
      <c r="H189" s="37">
        <f>(E189+F189)*G189</f>
        <v>1000</v>
      </c>
      <c r="I189" s="11">
        <f>H189/4</f>
        <v>250</v>
      </c>
      <c r="J189" s="72">
        <v>80</v>
      </c>
      <c r="K189" s="13">
        <f>0.64*0.9*J189/1000</f>
        <v>4.6080000000000003E-2</v>
      </c>
      <c r="L189" s="38">
        <v>3</v>
      </c>
      <c r="M189" s="39">
        <f>H189*L189</f>
        <v>3000</v>
      </c>
      <c r="N189" s="41">
        <f>M189*0</f>
        <v>0</v>
      </c>
      <c r="O189" s="79">
        <v>0</v>
      </c>
      <c r="P189" s="42">
        <f>(L189+O189)*H189+N189</f>
        <v>3000</v>
      </c>
      <c r="Q189" s="75">
        <f>I189*K189*9+250</f>
        <v>353.68</v>
      </c>
      <c r="R189" s="306">
        <f>17*0.41*100</f>
        <v>697</v>
      </c>
      <c r="S189" s="307">
        <v>0.3</v>
      </c>
      <c r="T189" s="308">
        <f>(P189+P191+P190+R189)+((P189+P191+P190+R189)*S189)+(Q189+Q190+Q191)</f>
        <v>7478.3976000000002</v>
      </c>
      <c r="U189" s="309">
        <f>T189/100</f>
        <v>74.783975999999996</v>
      </c>
    </row>
    <row r="190" spans="1:21" x14ac:dyDescent="0.25">
      <c r="A190" s="311"/>
      <c r="B190" s="80" t="s">
        <v>29</v>
      </c>
      <c r="C190" s="34">
        <v>100</v>
      </c>
      <c r="D190" s="35">
        <v>4</v>
      </c>
      <c r="E190" s="36">
        <f>C190/D190</f>
        <v>25</v>
      </c>
      <c r="F190" s="37">
        <v>1</v>
      </c>
      <c r="G190" s="37">
        <v>1</v>
      </c>
      <c r="H190" s="37">
        <f>(E190+F190)*G190</f>
        <v>26</v>
      </c>
      <c r="I190" s="11">
        <f>H190/4</f>
        <v>6.5</v>
      </c>
      <c r="J190" s="72">
        <v>300</v>
      </c>
      <c r="K190" s="13">
        <f>0.64*0.9*J190/1000</f>
        <v>0.17280000000000001</v>
      </c>
      <c r="L190" s="38">
        <v>14</v>
      </c>
      <c r="M190" s="39">
        <f>H190*L190</f>
        <v>364</v>
      </c>
      <c r="N190" s="41">
        <f>M190*0</f>
        <v>0</v>
      </c>
      <c r="O190" s="79">
        <v>40</v>
      </c>
      <c r="P190" s="42">
        <f>(L190+O190)*(H190+N190)</f>
        <v>1404</v>
      </c>
      <c r="Q190" s="75">
        <f>I190*K190*9</f>
        <v>10.1088</v>
      </c>
      <c r="R190" s="275"/>
      <c r="S190" s="278"/>
      <c r="T190" s="262"/>
      <c r="U190" s="265"/>
    </row>
    <row r="191" spans="1:21" ht="15.75" thickBot="1" x14ac:dyDescent="0.3">
      <c r="A191" s="312"/>
      <c r="B191" s="88" t="s">
        <v>98</v>
      </c>
      <c r="C191" s="89">
        <v>100</v>
      </c>
      <c r="D191" s="43">
        <v>4</v>
      </c>
      <c r="E191" s="44">
        <f>C191/D191</f>
        <v>25</v>
      </c>
      <c r="F191" s="45">
        <v>1</v>
      </c>
      <c r="G191" s="45">
        <v>1</v>
      </c>
      <c r="H191" s="45">
        <f>(E191+F191)*G191</f>
        <v>26</v>
      </c>
      <c r="I191" s="90">
        <f>H191/4</f>
        <v>6.5</v>
      </c>
      <c r="J191" s="73">
        <v>300</v>
      </c>
      <c r="K191" s="58">
        <f>0.64*0.9*J191/1000</f>
        <v>0.17280000000000001</v>
      </c>
      <c r="L191" s="46">
        <v>14</v>
      </c>
      <c r="M191" s="47">
        <f>H191*L191</f>
        <v>364</v>
      </c>
      <c r="N191" s="49">
        <f>M191*0</f>
        <v>0</v>
      </c>
      <c r="O191" s="91">
        <v>0</v>
      </c>
      <c r="P191" s="50">
        <f>(L191+O191)*(H191+N191)</f>
        <v>364</v>
      </c>
      <c r="Q191" s="76">
        <f>I191*K191*9</f>
        <v>10.1088</v>
      </c>
      <c r="R191" s="294"/>
      <c r="S191" s="295"/>
      <c r="T191" s="292"/>
      <c r="U191" s="293"/>
    </row>
    <row r="192" spans="1:21" ht="75" x14ac:dyDescent="0.25">
      <c r="A192" s="303" t="s">
        <v>139</v>
      </c>
      <c r="B192" s="81"/>
      <c r="C192" s="82" t="s">
        <v>20</v>
      </c>
      <c r="D192" s="83" t="s">
        <v>2</v>
      </c>
      <c r="E192" s="84" t="s">
        <v>3</v>
      </c>
      <c r="F192" s="83" t="s">
        <v>4</v>
      </c>
      <c r="G192" s="83" t="s">
        <v>21</v>
      </c>
      <c r="H192" s="83" t="s">
        <v>22</v>
      </c>
      <c r="I192" s="85" t="s">
        <v>5</v>
      </c>
      <c r="J192" s="83" t="s">
        <v>6</v>
      </c>
      <c r="K192" s="83" t="s">
        <v>7</v>
      </c>
      <c r="L192" s="83" t="s">
        <v>8</v>
      </c>
      <c r="M192" s="83" t="s">
        <v>9</v>
      </c>
      <c r="N192" s="83" t="s">
        <v>36</v>
      </c>
      <c r="O192" s="83" t="s">
        <v>39</v>
      </c>
      <c r="P192" s="83" t="s">
        <v>40</v>
      </c>
      <c r="Q192" s="83" t="s">
        <v>15</v>
      </c>
      <c r="R192" s="86" t="s">
        <v>24</v>
      </c>
      <c r="S192" s="83" t="s">
        <v>25</v>
      </c>
      <c r="T192" s="83" t="s">
        <v>18</v>
      </c>
      <c r="U192" s="87" t="s">
        <v>26</v>
      </c>
    </row>
    <row r="193" spans="1:21" x14ac:dyDescent="0.25">
      <c r="A193" s="304"/>
      <c r="B193" s="80" t="s">
        <v>27</v>
      </c>
      <c r="C193" s="34">
        <v>4</v>
      </c>
      <c r="D193" s="35">
        <v>1</v>
      </c>
      <c r="E193" s="36">
        <f>C193/D193</f>
        <v>4</v>
      </c>
      <c r="F193" s="37">
        <v>0</v>
      </c>
      <c r="G193" s="37">
        <v>110</v>
      </c>
      <c r="H193" s="37">
        <f>(E193+F193)*G193</f>
        <v>440</v>
      </c>
      <c r="I193" s="11">
        <f>H193/4</f>
        <v>110</v>
      </c>
      <c r="J193" s="72">
        <v>80</v>
      </c>
      <c r="K193" s="13">
        <f>0.64*0.9*J193/1000</f>
        <v>4.6080000000000003E-2</v>
      </c>
      <c r="L193" s="38">
        <v>3</v>
      </c>
      <c r="M193" s="39">
        <f>H193*L193</f>
        <v>1320</v>
      </c>
      <c r="N193" s="41">
        <f>M193*0.2</f>
        <v>264</v>
      </c>
      <c r="O193" s="79">
        <v>50</v>
      </c>
      <c r="P193" s="42">
        <f>(L193+O193)*H193+N193</f>
        <v>23584</v>
      </c>
      <c r="Q193" s="75">
        <f>I193*K193*9</f>
        <v>45.619200000000006</v>
      </c>
      <c r="R193" s="306">
        <f>C194*9+C194*150+2400</f>
        <v>3036</v>
      </c>
      <c r="S193" s="307">
        <v>0.3</v>
      </c>
      <c r="T193" s="308">
        <f>(P193+P195+P194+R193)+((P193+P195+P194+R193)*S193)+(Q193+Q194+Q195)</f>
        <v>35069.537279999997</v>
      </c>
      <c r="U193" s="309">
        <f>T193/C194</f>
        <v>8767.3843199999992</v>
      </c>
    </row>
    <row r="194" spans="1:21" x14ac:dyDescent="0.25">
      <c r="A194" s="304"/>
      <c r="B194" s="80" t="s">
        <v>29</v>
      </c>
      <c r="C194" s="34">
        <v>4</v>
      </c>
      <c r="D194" s="35">
        <v>1</v>
      </c>
      <c r="E194" s="36">
        <f>C194/D194</f>
        <v>4</v>
      </c>
      <c r="F194" s="37">
        <v>0</v>
      </c>
      <c r="G194" s="37">
        <v>1</v>
      </c>
      <c r="H194" s="37">
        <f>(E194+F194)*G194</f>
        <v>4</v>
      </c>
      <c r="I194" s="11">
        <f>H194/4</f>
        <v>1</v>
      </c>
      <c r="J194" s="72">
        <v>130</v>
      </c>
      <c r="K194" s="13">
        <f>0.64*0.9*J194/1000</f>
        <v>7.4880000000000016E-2</v>
      </c>
      <c r="L194" s="38">
        <v>5</v>
      </c>
      <c r="M194" s="39">
        <f>H194*L194</f>
        <v>20</v>
      </c>
      <c r="N194" s="41">
        <f>M194*0.2</f>
        <v>4</v>
      </c>
      <c r="O194" s="79">
        <v>25</v>
      </c>
      <c r="P194" s="42">
        <f>(L194+O194)*(H194+N194)</f>
        <v>240</v>
      </c>
      <c r="Q194" s="75">
        <f>I194*K194*9</f>
        <v>0.67392000000000019</v>
      </c>
      <c r="R194" s="275"/>
      <c r="S194" s="278"/>
      <c r="T194" s="262"/>
      <c r="U194" s="265"/>
    </row>
    <row r="195" spans="1:21" ht="15.75" thickBot="1" x14ac:dyDescent="0.3">
      <c r="A195" s="305"/>
      <c r="B195" s="88" t="s">
        <v>28</v>
      </c>
      <c r="C195" s="89">
        <v>8</v>
      </c>
      <c r="D195" s="43">
        <v>1</v>
      </c>
      <c r="E195" s="44">
        <f>C195/D195</f>
        <v>8</v>
      </c>
      <c r="F195" s="45">
        <v>0</v>
      </c>
      <c r="G195" s="45">
        <v>1</v>
      </c>
      <c r="H195" s="45">
        <f>(E195+F195)*G195</f>
        <v>8</v>
      </c>
      <c r="I195" s="90">
        <f>H195/4</f>
        <v>2</v>
      </c>
      <c r="J195" s="73">
        <v>120</v>
      </c>
      <c r="K195" s="58">
        <f>0.64*0.9*J195/1000</f>
        <v>6.9120000000000001E-2</v>
      </c>
      <c r="L195" s="46">
        <v>5</v>
      </c>
      <c r="M195" s="47">
        <f>H195*L195</f>
        <v>40</v>
      </c>
      <c r="N195" s="49">
        <f>M195*0.2</f>
        <v>8</v>
      </c>
      <c r="O195" s="91">
        <v>0</v>
      </c>
      <c r="P195" s="50">
        <f>(L195+O195)*(H195+N195)</f>
        <v>80</v>
      </c>
      <c r="Q195" s="76">
        <f>I195*K195*9</f>
        <v>1.2441599999999999</v>
      </c>
      <c r="R195" s="294"/>
      <c r="S195" s="295"/>
      <c r="T195" s="292"/>
      <c r="U195" s="293"/>
    </row>
    <row r="196" spans="1:21" ht="75" x14ac:dyDescent="0.25">
      <c r="A196" s="303" t="s">
        <v>140</v>
      </c>
      <c r="B196" s="81"/>
      <c r="C196" s="82" t="s">
        <v>20</v>
      </c>
      <c r="D196" s="83" t="s">
        <v>2</v>
      </c>
      <c r="E196" s="84" t="s">
        <v>3</v>
      </c>
      <c r="F196" s="83" t="s">
        <v>4</v>
      </c>
      <c r="G196" s="83" t="s">
        <v>21</v>
      </c>
      <c r="H196" s="83" t="s">
        <v>22</v>
      </c>
      <c r="I196" s="85" t="s">
        <v>5</v>
      </c>
      <c r="J196" s="83" t="s">
        <v>6</v>
      </c>
      <c r="K196" s="83" t="s">
        <v>7</v>
      </c>
      <c r="L196" s="83" t="s">
        <v>8</v>
      </c>
      <c r="M196" s="83" t="s">
        <v>9</v>
      </c>
      <c r="N196" s="83" t="s">
        <v>36</v>
      </c>
      <c r="O196" s="83" t="s">
        <v>39</v>
      </c>
      <c r="P196" s="83" t="s">
        <v>40</v>
      </c>
      <c r="Q196" s="83" t="s">
        <v>15</v>
      </c>
      <c r="R196" s="86" t="s">
        <v>24</v>
      </c>
      <c r="S196" s="83" t="s">
        <v>25</v>
      </c>
      <c r="T196" s="83" t="s">
        <v>18</v>
      </c>
      <c r="U196" s="87" t="s">
        <v>26</v>
      </c>
    </row>
    <row r="197" spans="1:21" x14ac:dyDescent="0.25">
      <c r="A197" s="304"/>
      <c r="B197" s="80" t="s">
        <v>27</v>
      </c>
      <c r="C197" s="34">
        <v>11</v>
      </c>
      <c r="D197" s="35">
        <v>1</v>
      </c>
      <c r="E197" s="36">
        <f>C197/D197</f>
        <v>11</v>
      </c>
      <c r="F197" s="37">
        <v>0</v>
      </c>
      <c r="G197" s="37">
        <v>110</v>
      </c>
      <c r="H197" s="37">
        <f>(E197+F197)*G197</f>
        <v>1210</v>
      </c>
      <c r="I197" s="11">
        <f>H197/4</f>
        <v>302.5</v>
      </c>
      <c r="J197" s="72">
        <v>80</v>
      </c>
      <c r="K197" s="13">
        <f>0.64*0.9*J197/1000</f>
        <v>4.6080000000000003E-2</v>
      </c>
      <c r="L197" s="38">
        <v>3</v>
      </c>
      <c r="M197" s="39">
        <f>H197*L197</f>
        <v>3630</v>
      </c>
      <c r="N197" s="41">
        <f>M197*0.2</f>
        <v>726</v>
      </c>
      <c r="O197" s="79">
        <v>35</v>
      </c>
      <c r="P197" s="42">
        <f>(L197+O197)*H197+N197</f>
        <v>46706</v>
      </c>
      <c r="Q197" s="75">
        <f>I197*K197*9</f>
        <v>125.45280000000001</v>
      </c>
      <c r="R197" s="306">
        <f>C198*9+C198*150+2400</f>
        <v>4149</v>
      </c>
      <c r="S197" s="307">
        <v>0.3</v>
      </c>
      <c r="T197" s="308">
        <f>(P197+P199+P198+R197)+((P197+P199+P198+R197)*S197)+(Q197+Q198+Q199)</f>
        <v>67386.22752</v>
      </c>
      <c r="U197" s="309">
        <f>T197/C198</f>
        <v>6126.0206836363641</v>
      </c>
    </row>
    <row r="198" spans="1:21" x14ac:dyDescent="0.25">
      <c r="A198" s="304"/>
      <c r="B198" s="80" t="s">
        <v>29</v>
      </c>
      <c r="C198" s="34">
        <v>11</v>
      </c>
      <c r="D198" s="35">
        <v>1</v>
      </c>
      <c r="E198" s="36">
        <f>C198/D198</f>
        <v>11</v>
      </c>
      <c r="F198" s="37">
        <v>0</v>
      </c>
      <c r="G198" s="37">
        <v>1</v>
      </c>
      <c r="H198" s="37">
        <f>(E198+F198)*G198</f>
        <v>11</v>
      </c>
      <c r="I198" s="11">
        <f>H198/4</f>
        <v>2.75</v>
      </c>
      <c r="J198" s="72">
        <v>130</v>
      </c>
      <c r="K198" s="13">
        <f>0.64*0.9*J198/1000</f>
        <v>7.4880000000000016E-2</v>
      </c>
      <c r="L198" s="38">
        <v>5</v>
      </c>
      <c r="M198" s="39">
        <f>H198*L198</f>
        <v>55</v>
      </c>
      <c r="N198" s="41">
        <f>M198*0.2</f>
        <v>11</v>
      </c>
      <c r="O198" s="79">
        <v>25</v>
      </c>
      <c r="P198" s="42">
        <f>(L198+O198)*(H198+N198)</f>
        <v>660</v>
      </c>
      <c r="Q198" s="75">
        <f>I198*K198*9</f>
        <v>1.8532800000000005</v>
      </c>
      <c r="R198" s="275"/>
      <c r="S198" s="278"/>
      <c r="T198" s="262"/>
      <c r="U198" s="265"/>
    </row>
    <row r="199" spans="1:21" ht="15.75" thickBot="1" x14ac:dyDescent="0.3">
      <c r="A199" s="305"/>
      <c r="B199" s="88" t="s">
        <v>28</v>
      </c>
      <c r="C199" s="89">
        <v>22</v>
      </c>
      <c r="D199" s="43">
        <v>1</v>
      </c>
      <c r="E199" s="44">
        <f>C199/D199</f>
        <v>22</v>
      </c>
      <c r="F199" s="45">
        <v>0</v>
      </c>
      <c r="G199" s="45">
        <v>1</v>
      </c>
      <c r="H199" s="45">
        <f>(E199+F199)*G199</f>
        <v>22</v>
      </c>
      <c r="I199" s="90">
        <f>H199/4</f>
        <v>5.5</v>
      </c>
      <c r="J199" s="73">
        <v>120</v>
      </c>
      <c r="K199" s="58">
        <f>0.64*0.9*J199/1000</f>
        <v>6.9120000000000001E-2</v>
      </c>
      <c r="L199" s="46">
        <v>5</v>
      </c>
      <c r="M199" s="47">
        <f>H199*L199</f>
        <v>110</v>
      </c>
      <c r="N199" s="49">
        <f>M199*0.2</f>
        <v>22</v>
      </c>
      <c r="O199" s="91">
        <v>0</v>
      </c>
      <c r="P199" s="50">
        <f>(L199+O199)*(H199+N199)</f>
        <v>220</v>
      </c>
      <c r="Q199" s="76">
        <f>I199*K199*9</f>
        <v>3.42144</v>
      </c>
      <c r="R199" s="294"/>
      <c r="S199" s="295"/>
      <c r="T199" s="292"/>
      <c r="U199" s="293"/>
    </row>
    <row r="200" spans="1:21" ht="75" x14ac:dyDescent="0.25">
      <c r="A200" s="303" t="s">
        <v>140</v>
      </c>
      <c r="B200" s="81"/>
      <c r="C200" s="82" t="s">
        <v>20</v>
      </c>
      <c r="D200" s="83" t="s">
        <v>2</v>
      </c>
      <c r="E200" s="84" t="s">
        <v>3</v>
      </c>
      <c r="F200" s="83" t="s">
        <v>4</v>
      </c>
      <c r="G200" s="83" t="s">
        <v>21</v>
      </c>
      <c r="H200" s="83" t="s">
        <v>22</v>
      </c>
      <c r="I200" s="85" t="s">
        <v>5</v>
      </c>
      <c r="J200" s="83" t="s">
        <v>6</v>
      </c>
      <c r="K200" s="83" t="s">
        <v>7</v>
      </c>
      <c r="L200" s="83" t="s">
        <v>8</v>
      </c>
      <c r="M200" s="83" t="s">
        <v>9</v>
      </c>
      <c r="N200" s="83" t="s">
        <v>36</v>
      </c>
      <c r="O200" s="83" t="s">
        <v>39</v>
      </c>
      <c r="P200" s="83" t="s">
        <v>40</v>
      </c>
      <c r="Q200" s="83" t="s">
        <v>15</v>
      </c>
      <c r="R200" s="86" t="s">
        <v>24</v>
      </c>
      <c r="S200" s="83" t="s">
        <v>25</v>
      </c>
      <c r="T200" s="83" t="s">
        <v>18</v>
      </c>
      <c r="U200" s="87" t="s">
        <v>26</v>
      </c>
    </row>
    <row r="201" spans="1:21" x14ac:dyDescent="0.25">
      <c r="A201" s="304"/>
      <c r="B201" s="80" t="s">
        <v>27</v>
      </c>
      <c r="C201" s="34">
        <v>11</v>
      </c>
      <c r="D201" s="35">
        <v>1</v>
      </c>
      <c r="E201" s="36">
        <f>C201/D201</f>
        <v>11</v>
      </c>
      <c r="F201" s="37">
        <v>0</v>
      </c>
      <c r="G201" s="37">
        <v>110</v>
      </c>
      <c r="H201" s="37">
        <f>(E201+F201)*G201</f>
        <v>1210</v>
      </c>
      <c r="I201" s="11">
        <f>H201/4</f>
        <v>302.5</v>
      </c>
      <c r="J201" s="72">
        <v>80</v>
      </c>
      <c r="K201" s="13">
        <f>0.64*0.9*J201/1000</f>
        <v>4.6080000000000003E-2</v>
      </c>
      <c r="L201" s="38">
        <v>3</v>
      </c>
      <c r="M201" s="39">
        <f>H201*L201</f>
        <v>3630</v>
      </c>
      <c r="N201" s="41">
        <f>M201*0.2</f>
        <v>726</v>
      </c>
      <c r="O201" s="79">
        <v>35</v>
      </c>
      <c r="P201" s="42">
        <f>(L201+O201)*H201+N201</f>
        <v>46706</v>
      </c>
      <c r="Q201" s="75">
        <f>I201*K201*9</f>
        <v>125.45280000000001</v>
      </c>
      <c r="R201" s="306">
        <f>C202*9+C202*150+2400</f>
        <v>4149</v>
      </c>
      <c r="S201" s="307">
        <v>0.3</v>
      </c>
      <c r="T201" s="308">
        <f>(P201+P203+P202+R201)+((P201+P203+P202+R201)*S201)+(Q201+Q202+Q203)</f>
        <v>67386.22752</v>
      </c>
      <c r="U201" s="309">
        <f>T201/C202</f>
        <v>6126.0206836363641</v>
      </c>
    </row>
    <row r="202" spans="1:21" x14ac:dyDescent="0.25">
      <c r="A202" s="304"/>
      <c r="B202" s="80" t="s">
        <v>29</v>
      </c>
      <c r="C202" s="34">
        <v>11</v>
      </c>
      <c r="D202" s="35">
        <v>1</v>
      </c>
      <c r="E202" s="36">
        <f>C202/D202</f>
        <v>11</v>
      </c>
      <c r="F202" s="37">
        <v>0</v>
      </c>
      <c r="G202" s="37">
        <v>1</v>
      </c>
      <c r="H202" s="37">
        <f>(E202+F202)*G202</f>
        <v>11</v>
      </c>
      <c r="I202" s="11">
        <f>H202/4</f>
        <v>2.75</v>
      </c>
      <c r="J202" s="72">
        <v>130</v>
      </c>
      <c r="K202" s="13">
        <f>0.64*0.9*J202/1000</f>
        <v>7.4880000000000016E-2</v>
      </c>
      <c r="L202" s="38">
        <v>5</v>
      </c>
      <c r="M202" s="39">
        <f>H202*L202</f>
        <v>55</v>
      </c>
      <c r="N202" s="41">
        <f>M202*0.2</f>
        <v>11</v>
      </c>
      <c r="O202" s="79">
        <v>25</v>
      </c>
      <c r="P202" s="42">
        <f>(L202+O202)*(H202+N202)</f>
        <v>660</v>
      </c>
      <c r="Q202" s="75">
        <f>I202*K202*9</f>
        <v>1.8532800000000005</v>
      </c>
      <c r="R202" s="275"/>
      <c r="S202" s="278"/>
      <c r="T202" s="262"/>
      <c r="U202" s="265"/>
    </row>
    <row r="203" spans="1:21" ht="15.75" thickBot="1" x14ac:dyDescent="0.3">
      <c r="A203" s="305"/>
      <c r="B203" s="88" t="s">
        <v>28</v>
      </c>
      <c r="C203" s="89">
        <v>22</v>
      </c>
      <c r="D203" s="43">
        <v>1</v>
      </c>
      <c r="E203" s="44">
        <f>C203/D203</f>
        <v>22</v>
      </c>
      <c r="F203" s="45">
        <v>0</v>
      </c>
      <c r="G203" s="45">
        <v>1</v>
      </c>
      <c r="H203" s="45">
        <f>(E203+F203)*G203</f>
        <v>22</v>
      </c>
      <c r="I203" s="90">
        <f>H203/4</f>
        <v>5.5</v>
      </c>
      <c r="J203" s="73">
        <v>120</v>
      </c>
      <c r="K203" s="58">
        <f>0.64*0.9*J203/1000</f>
        <v>6.9120000000000001E-2</v>
      </c>
      <c r="L203" s="46">
        <v>5</v>
      </c>
      <c r="M203" s="47">
        <f>H203*L203</f>
        <v>110</v>
      </c>
      <c r="N203" s="49">
        <f>M203*0.2</f>
        <v>22</v>
      </c>
      <c r="O203" s="91">
        <v>0</v>
      </c>
      <c r="P203" s="50">
        <f>(L203+O203)*(H203+N203)</f>
        <v>220</v>
      </c>
      <c r="Q203" s="76">
        <f>I203*K203*9</f>
        <v>3.42144</v>
      </c>
      <c r="R203" s="294"/>
      <c r="S203" s="295"/>
      <c r="T203" s="292"/>
      <c r="U203" s="293"/>
    </row>
    <row r="204" spans="1:21" ht="75" x14ac:dyDescent="0.25">
      <c r="A204" s="303" t="s">
        <v>142</v>
      </c>
      <c r="B204" s="81"/>
      <c r="C204" s="82" t="s">
        <v>20</v>
      </c>
      <c r="D204" s="83" t="s">
        <v>2</v>
      </c>
      <c r="E204" s="84" t="s">
        <v>3</v>
      </c>
      <c r="F204" s="83" t="s">
        <v>4</v>
      </c>
      <c r="G204" s="83" t="s">
        <v>21</v>
      </c>
      <c r="H204" s="83" t="s">
        <v>22</v>
      </c>
      <c r="I204" s="85" t="s">
        <v>5</v>
      </c>
      <c r="J204" s="83" t="s">
        <v>6</v>
      </c>
      <c r="K204" s="83" t="s">
        <v>7</v>
      </c>
      <c r="L204" s="83" t="s">
        <v>8</v>
      </c>
      <c r="M204" s="83" t="s">
        <v>9</v>
      </c>
      <c r="N204" s="83" t="s">
        <v>36</v>
      </c>
      <c r="O204" s="83" t="s">
        <v>39</v>
      </c>
      <c r="P204" s="83" t="s">
        <v>40</v>
      </c>
      <c r="Q204" s="83" t="s">
        <v>15</v>
      </c>
      <c r="R204" s="86" t="s">
        <v>24</v>
      </c>
      <c r="S204" s="83" t="s">
        <v>25</v>
      </c>
      <c r="T204" s="83" t="s">
        <v>18</v>
      </c>
      <c r="U204" s="87" t="s">
        <v>26</v>
      </c>
    </row>
    <row r="205" spans="1:21" x14ac:dyDescent="0.25">
      <c r="A205" s="304"/>
      <c r="B205" s="80" t="s">
        <v>27</v>
      </c>
      <c r="C205" s="34">
        <v>10</v>
      </c>
      <c r="D205" s="35">
        <v>1</v>
      </c>
      <c r="E205" s="36">
        <f>C205/D205</f>
        <v>10</v>
      </c>
      <c r="F205" s="37">
        <v>0</v>
      </c>
      <c r="G205" s="37">
        <v>19</v>
      </c>
      <c r="H205" s="37">
        <f>(E205+F205)*G205</f>
        <v>190</v>
      </c>
      <c r="I205" s="11">
        <f>H205/4</f>
        <v>47.5</v>
      </c>
      <c r="J205" s="72">
        <v>130</v>
      </c>
      <c r="K205" s="13">
        <f>0.64*0.9*J205/1000</f>
        <v>7.4880000000000016E-2</v>
      </c>
      <c r="L205" s="38">
        <v>5</v>
      </c>
      <c r="M205" s="39">
        <f>H205*L205</f>
        <v>950</v>
      </c>
      <c r="N205" s="41">
        <f>M205*0.2</f>
        <v>190</v>
      </c>
      <c r="O205" s="79">
        <v>50</v>
      </c>
      <c r="P205" s="42">
        <f>(L205+O205)*H205+N205</f>
        <v>10640</v>
      </c>
      <c r="Q205" s="75">
        <f>I205*K205*9+250</f>
        <v>282.01120000000003</v>
      </c>
      <c r="R205" s="306"/>
      <c r="S205" s="307">
        <v>0.3</v>
      </c>
      <c r="T205" s="308">
        <f>(P205+P207+P206+R205)+((P205+P207+P206+R205)*S205)+(Q205+Q206+Q207)</f>
        <v>15078.931199999999</v>
      </c>
      <c r="U205" s="309">
        <f>T205/C206</f>
        <v>1507.89312</v>
      </c>
    </row>
    <row r="206" spans="1:21" x14ac:dyDescent="0.25">
      <c r="A206" s="304"/>
      <c r="B206" s="80" t="s">
        <v>29</v>
      </c>
      <c r="C206" s="34">
        <v>10</v>
      </c>
      <c r="D206" s="35">
        <v>2</v>
      </c>
      <c r="E206" s="36">
        <f>C206/D206</f>
        <v>5</v>
      </c>
      <c r="F206" s="37">
        <v>0</v>
      </c>
      <c r="G206" s="37">
        <v>1</v>
      </c>
      <c r="H206" s="37">
        <f>(E206+F206)*G206</f>
        <v>5</v>
      </c>
      <c r="I206" s="11">
        <f>H206/4</f>
        <v>1.25</v>
      </c>
      <c r="J206" s="72">
        <v>250</v>
      </c>
      <c r="K206" s="13">
        <f>0.64*0.9*J206/1000</f>
        <v>0.14400000000000002</v>
      </c>
      <c r="L206" s="38">
        <v>14</v>
      </c>
      <c r="M206" s="39">
        <f>H206*L206</f>
        <v>70</v>
      </c>
      <c r="N206" s="41">
        <f>M206*0.2</f>
        <v>14</v>
      </c>
      <c r="O206" s="79">
        <v>25</v>
      </c>
      <c r="P206" s="42">
        <f>(L206+O206)*(H206+N206)</f>
        <v>741</v>
      </c>
      <c r="Q206" s="75">
        <f>I206*K206*9</f>
        <v>1.62</v>
      </c>
      <c r="R206" s="275"/>
      <c r="S206" s="278"/>
      <c r="T206" s="262"/>
      <c r="U206" s="265"/>
    </row>
    <row r="207" spans="1:21" ht="15.75" thickBot="1" x14ac:dyDescent="0.3">
      <c r="A207" s="305"/>
      <c r="B207" s="88" t="s">
        <v>28</v>
      </c>
      <c r="C207" s="89">
        <v>0</v>
      </c>
      <c r="D207" s="43">
        <v>1</v>
      </c>
      <c r="E207" s="44">
        <f>C207/D207</f>
        <v>0</v>
      </c>
      <c r="F207" s="45">
        <v>0</v>
      </c>
      <c r="G207" s="45">
        <v>1</v>
      </c>
      <c r="H207" s="45">
        <f>(E207+F207)*G207</f>
        <v>0</v>
      </c>
      <c r="I207" s="90">
        <f>H207/4</f>
        <v>0</v>
      </c>
      <c r="J207" s="73">
        <v>0</v>
      </c>
      <c r="K207" s="58">
        <f>0.64*0.9*J207/1000</f>
        <v>0</v>
      </c>
      <c r="L207" s="46">
        <v>0</v>
      </c>
      <c r="M207" s="47">
        <f>H207*L207</f>
        <v>0</v>
      </c>
      <c r="N207" s="49">
        <f>M207*0.2</f>
        <v>0</v>
      </c>
      <c r="O207" s="91">
        <v>0</v>
      </c>
      <c r="P207" s="50">
        <f>(L207+O207)*(H207+N207)</f>
        <v>0</v>
      </c>
      <c r="Q207" s="76">
        <f>I207*K207*9</f>
        <v>0</v>
      </c>
      <c r="R207" s="294"/>
      <c r="S207" s="295"/>
      <c r="T207" s="292"/>
      <c r="U207" s="293"/>
    </row>
    <row r="208" spans="1:21" ht="75" x14ac:dyDescent="0.25">
      <c r="A208" s="303" t="s">
        <v>143</v>
      </c>
      <c r="B208" s="81"/>
      <c r="C208" s="82" t="s">
        <v>20</v>
      </c>
      <c r="D208" s="83" t="s">
        <v>2</v>
      </c>
      <c r="E208" s="84" t="s">
        <v>3</v>
      </c>
      <c r="F208" s="83" t="s">
        <v>4</v>
      </c>
      <c r="G208" s="83" t="s">
        <v>21</v>
      </c>
      <c r="H208" s="83" t="s">
        <v>22</v>
      </c>
      <c r="I208" s="85" t="s">
        <v>5</v>
      </c>
      <c r="J208" s="83" t="s">
        <v>6</v>
      </c>
      <c r="K208" s="83" t="s">
        <v>7</v>
      </c>
      <c r="L208" s="83" t="s">
        <v>8</v>
      </c>
      <c r="M208" s="83" t="s">
        <v>9</v>
      </c>
      <c r="N208" s="83" t="s">
        <v>36</v>
      </c>
      <c r="O208" s="83" t="s">
        <v>39</v>
      </c>
      <c r="P208" s="83" t="s">
        <v>40</v>
      </c>
      <c r="Q208" s="83" t="s">
        <v>15</v>
      </c>
      <c r="R208" s="86" t="s">
        <v>24</v>
      </c>
      <c r="S208" s="83" t="s">
        <v>25</v>
      </c>
      <c r="T208" s="83" t="s">
        <v>18</v>
      </c>
      <c r="U208" s="87" t="s">
        <v>26</v>
      </c>
    </row>
    <row r="209" spans="1:21" x14ac:dyDescent="0.25">
      <c r="A209" s="304"/>
      <c r="B209" s="80" t="s">
        <v>27</v>
      </c>
      <c r="C209" s="34">
        <v>100</v>
      </c>
      <c r="D209" s="35">
        <v>1</v>
      </c>
      <c r="E209" s="36">
        <f>C209/D209</f>
        <v>100</v>
      </c>
      <c r="F209" s="37">
        <v>0</v>
      </c>
      <c r="G209" s="37">
        <v>10</v>
      </c>
      <c r="H209" s="37">
        <f>(E209+F209)*G209</f>
        <v>1000</v>
      </c>
      <c r="I209" s="11">
        <f>H209/4</f>
        <v>250</v>
      </c>
      <c r="J209" s="72">
        <v>80</v>
      </c>
      <c r="K209" s="13">
        <f>0.64*0.9*J209/1000</f>
        <v>4.6080000000000003E-2</v>
      </c>
      <c r="L209" s="38">
        <v>3</v>
      </c>
      <c r="M209" s="39">
        <f>H209*L209</f>
        <v>3000</v>
      </c>
      <c r="N209" s="41">
        <f>M209*0</f>
        <v>0</v>
      </c>
      <c r="O209" s="79">
        <v>0</v>
      </c>
      <c r="P209" s="42">
        <f>(L209+O209)*H209+N209</f>
        <v>3000</v>
      </c>
      <c r="Q209" s="75">
        <f>I209*K209*9</f>
        <v>103.68</v>
      </c>
      <c r="R209" s="306">
        <f>24*0.41*C210</f>
        <v>984</v>
      </c>
      <c r="S209" s="307">
        <v>0.3</v>
      </c>
      <c r="T209" s="308">
        <f>(P209+P211+P210+R209)+((P209+P211+P210+R209)*S209)+(Q209+Q210+Q211)</f>
        <v>7512.32</v>
      </c>
      <c r="U209" s="309">
        <f>T209/C210</f>
        <v>75.123199999999997</v>
      </c>
    </row>
    <row r="210" spans="1:21" x14ac:dyDescent="0.25">
      <c r="A210" s="304"/>
      <c r="B210" s="80" t="s">
        <v>29</v>
      </c>
      <c r="C210" s="34">
        <v>100</v>
      </c>
      <c r="D210" s="35">
        <v>4</v>
      </c>
      <c r="E210" s="36">
        <f>C210/D210</f>
        <v>25</v>
      </c>
      <c r="F210" s="37">
        <v>0</v>
      </c>
      <c r="G210" s="37">
        <v>1</v>
      </c>
      <c r="H210" s="37">
        <f>(E210+F210)*G210</f>
        <v>25</v>
      </c>
      <c r="I210" s="11">
        <f>H210/4</f>
        <v>6.25</v>
      </c>
      <c r="J210" s="72">
        <v>300</v>
      </c>
      <c r="K210" s="13">
        <f>0.64*0.9*J210/1000</f>
        <v>0.17280000000000001</v>
      </c>
      <c r="L210" s="38">
        <v>14</v>
      </c>
      <c r="M210" s="39">
        <f>H210*L210</f>
        <v>350</v>
      </c>
      <c r="N210" s="41">
        <f>M210*0</f>
        <v>0</v>
      </c>
      <c r="O210" s="79">
        <v>40</v>
      </c>
      <c r="P210" s="42">
        <f>(L210+O210)*(H210+N210)</f>
        <v>1350</v>
      </c>
      <c r="Q210" s="75">
        <f>I210*K210*9</f>
        <v>9.7200000000000006</v>
      </c>
      <c r="R210" s="275"/>
      <c r="S210" s="278"/>
      <c r="T210" s="262"/>
      <c r="U210" s="265"/>
    </row>
    <row r="211" spans="1:21" ht="15.75" thickBot="1" x14ac:dyDescent="0.3">
      <c r="A211" s="305"/>
      <c r="B211" s="88" t="s">
        <v>98</v>
      </c>
      <c r="C211" s="89">
        <v>100</v>
      </c>
      <c r="D211" s="43">
        <v>4</v>
      </c>
      <c r="E211" s="44">
        <f>C211/D211</f>
        <v>25</v>
      </c>
      <c r="F211" s="45">
        <v>0</v>
      </c>
      <c r="G211" s="45">
        <v>1</v>
      </c>
      <c r="H211" s="45">
        <f>(E211+F211)*G211</f>
        <v>25</v>
      </c>
      <c r="I211" s="90">
        <f>H211/4</f>
        <v>6.25</v>
      </c>
      <c r="J211" s="73">
        <v>300</v>
      </c>
      <c r="K211" s="58">
        <f>0.64*0.9*J211/1000</f>
        <v>0.17280000000000001</v>
      </c>
      <c r="L211" s="46">
        <v>14</v>
      </c>
      <c r="M211" s="47">
        <f>H211*L211</f>
        <v>350</v>
      </c>
      <c r="N211" s="49">
        <f>M211*0</f>
        <v>0</v>
      </c>
      <c r="O211" s="91">
        <v>0</v>
      </c>
      <c r="P211" s="50">
        <f>(L211+O211)*(H211+N211)</f>
        <v>350</v>
      </c>
      <c r="Q211" s="76">
        <f>I211*K211*9</f>
        <v>9.7200000000000006</v>
      </c>
      <c r="R211" s="294"/>
      <c r="S211" s="295"/>
      <c r="T211" s="292"/>
      <c r="U211" s="293"/>
    </row>
    <row r="212" spans="1:21" ht="75" x14ac:dyDescent="0.25">
      <c r="A212" s="348" t="s">
        <v>144</v>
      </c>
      <c r="B212" s="81"/>
      <c r="C212" s="82" t="s">
        <v>20</v>
      </c>
      <c r="D212" s="83" t="s">
        <v>2</v>
      </c>
      <c r="E212" s="84" t="s">
        <v>3</v>
      </c>
      <c r="F212" s="83" t="s">
        <v>4</v>
      </c>
      <c r="G212" s="83" t="s">
        <v>21</v>
      </c>
      <c r="H212" s="83" t="s">
        <v>22</v>
      </c>
      <c r="I212" s="85" t="s">
        <v>5</v>
      </c>
      <c r="J212" s="83" t="s">
        <v>6</v>
      </c>
      <c r="K212" s="83" t="s">
        <v>7</v>
      </c>
      <c r="L212" s="83" t="s">
        <v>8</v>
      </c>
      <c r="M212" s="83" t="s">
        <v>9</v>
      </c>
      <c r="N212" s="83" t="s">
        <v>36</v>
      </c>
      <c r="O212" s="83" t="s">
        <v>39</v>
      </c>
      <c r="P212" s="83" t="s">
        <v>40</v>
      </c>
      <c r="Q212" s="83" t="s">
        <v>15</v>
      </c>
      <c r="R212" s="86" t="s">
        <v>24</v>
      </c>
      <c r="S212" s="83" t="s">
        <v>25</v>
      </c>
      <c r="T212" s="83" t="s">
        <v>18</v>
      </c>
      <c r="U212" s="87" t="s">
        <v>26</v>
      </c>
    </row>
    <row r="213" spans="1:21" x14ac:dyDescent="0.25">
      <c r="A213" s="349"/>
      <c r="B213" s="80" t="s">
        <v>27</v>
      </c>
      <c r="C213" s="34">
        <v>100</v>
      </c>
      <c r="D213" s="35">
        <v>1</v>
      </c>
      <c r="E213" s="36">
        <f>C213/D213</f>
        <v>100</v>
      </c>
      <c r="F213" s="37">
        <v>3</v>
      </c>
      <c r="G213" s="37">
        <v>73</v>
      </c>
      <c r="H213" s="37">
        <f>(E213+F213)*G213</f>
        <v>7519</v>
      </c>
      <c r="I213" s="11">
        <f>H213/4</f>
        <v>1879.75</v>
      </c>
      <c r="J213" s="72">
        <v>80</v>
      </c>
      <c r="K213" s="13">
        <f>0.64*0.9*J213/1000</f>
        <v>4.6080000000000003E-2</v>
      </c>
      <c r="L213" s="38">
        <v>3</v>
      </c>
      <c r="M213" s="39">
        <f>H213*L213</f>
        <v>22557</v>
      </c>
      <c r="N213" s="41">
        <f>M213*0.2</f>
        <v>4511.4000000000005</v>
      </c>
      <c r="O213" s="79">
        <v>50</v>
      </c>
      <c r="P213" s="42">
        <f>(L213+O213)*H213+N213</f>
        <v>403018.4</v>
      </c>
      <c r="Q213" s="75">
        <f>I213*K213*9</f>
        <v>779.56992000000002</v>
      </c>
      <c r="R213" s="306">
        <f>C214*150+C214*9</f>
        <v>15900</v>
      </c>
      <c r="S213" s="307">
        <v>0.3</v>
      </c>
      <c r="T213" s="308">
        <f>(P213+P215+P214+R213)+((P213+P215+P214+R213)*S213)+(Q213+Q214+Q215)</f>
        <v>556055.94735999999</v>
      </c>
      <c r="U213" s="309">
        <f>T213/C214</f>
        <v>5560.5594736000003</v>
      </c>
    </row>
    <row r="214" spans="1:21" x14ac:dyDescent="0.25">
      <c r="A214" s="349"/>
      <c r="B214" s="80" t="s">
        <v>29</v>
      </c>
      <c r="C214" s="34">
        <v>100</v>
      </c>
      <c r="D214" s="35">
        <v>1</v>
      </c>
      <c r="E214" s="36">
        <f>C214/D214</f>
        <v>100</v>
      </c>
      <c r="F214" s="37">
        <v>3</v>
      </c>
      <c r="G214" s="37">
        <v>1</v>
      </c>
      <c r="H214" s="37">
        <f>(E214+F214)*G214</f>
        <v>103</v>
      </c>
      <c r="I214" s="11">
        <f>H214/4</f>
        <v>25.75</v>
      </c>
      <c r="J214" s="72">
        <v>130</v>
      </c>
      <c r="K214" s="13">
        <f>0.64*0.9*J214/1000</f>
        <v>7.4880000000000016E-2</v>
      </c>
      <c r="L214" s="38">
        <v>5</v>
      </c>
      <c r="M214" s="39">
        <f>H214*L214</f>
        <v>515</v>
      </c>
      <c r="N214" s="41">
        <f>M214*0.2</f>
        <v>103</v>
      </c>
      <c r="O214" s="79">
        <v>25</v>
      </c>
      <c r="P214" s="42">
        <f>(L214+O214)*(H214+N214)</f>
        <v>6180</v>
      </c>
      <c r="Q214" s="75">
        <f>I214*K214*9</f>
        <v>17.353440000000003</v>
      </c>
      <c r="R214" s="275"/>
      <c r="S214" s="278"/>
      <c r="T214" s="262"/>
      <c r="U214" s="265"/>
    </row>
    <row r="215" spans="1:21" ht="15.75" thickBot="1" x14ac:dyDescent="0.3">
      <c r="A215" s="350"/>
      <c r="B215" s="88" t="s">
        <v>28</v>
      </c>
      <c r="C215" s="89">
        <v>200</v>
      </c>
      <c r="D215" s="43">
        <v>1</v>
      </c>
      <c r="E215" s="44">
        <f>C215/D215</f>
        <v>200</v>
      </c>
      <c r="F215" s="45">
        <v>0</v>
      </c>
      <c r="G215" s="45">
        <v>1</v>
      </c>
      <c r="H215" s="45">
        <f>(E215+F215)*G215</f>
        <v>200</v>
      </c>
      <c r="I215" s="90">
        <f>H215/4</f>
        <v>50</v>
      </c>
      <c r="J215" s="73">
        <v>120</v>
      </c>
      <c r="K215" s="58">
        <f>0.64*0.9*J215/1000</f>
        <v>6.9120000000000001E-2</v>
      </c>
      <c r="L215" s="46">
        <v>5</v>
      </c>
      <c r="M215" s="47">
        <f>H215*L215</f>
        <v>1000</v>
      </c>
      <c r="N215" s="49">
        <f>M215*0.2</f>
        <v>200</v>
      </c>
      <c r="O215" s="91">
        <v>0</v>
      </c>
      <c r="P215" s="50">
        <f>(L215+O215)*(H215+N215)</f>
        <v>2000</v>
      </c>
      <c r="Q215" s="76">
        <f>I215*K215*9</f>
        <v>31.103999999999999</v>
      </c>
      <c r="R215" s="294"/>
      <c r="S215" s="295"/>
      <c r="T215" s="292"/>
      <c r="U215" s="293"/>
    </row>
    <row r="216" spans="1:21" ht="75" x14ac:dyDescent="0.25">
      <c r="A216" s="303" t="s">
        <v>145</v>
      </c>
      <c r="B216" s="81"/>
      <c r="C216" s="82" t="s">
        <v>20</v>
      </c>
      <c r="D216" s="83" t="s">
        <v>2</v>
      </c>
      <c r="E216" s="84" t="s">
        <v>3</v>
      </c>
      <c r="F216" s="83" t="s">
        <v>4</v>
      </c>
      <c r="G216" s="83" t="s">
        <v>21</v>
      </c>
      <c r="H216" s="83" t="s">
        <v>22</v>
      </c>
      <c r="I216" s="85" t="s">
        <v>5</v>
      </c>
      <c r="J216" s="83" t="s">
        <v>6</v>
      </c>
      <c r="K216" s="83" t="s">
        <v>7</v>
      </c>
      <c r="L216" s="83" t="s">
        <v>8</v>
      </c>
      <c r="M216" s="83" t="s">
        <v>9</v>
      </c>
      <c r="N216" s="83" t="s">
        <v>36</v>
      </c>
      <c r="O216" s="83" t="s">
        <v>39</v>
      </c>
      <c r="P216" s="83" t="s">
        <v>40</v>
      </c>
      <c r="Q216" s="83" t="s">
        <v>15</v>
      </c>
      <c r="R216" s="86" t="s">
        <v>24</v>
      </c>
      <c r="S216" s="83" t="s">
        <v>25</v>
      </c>
      <c r="T216" s="83" t="s">
        <v>18</v>
      </c>
      <c r="U216" s="87" t="s">
        <v>26</v>
      </c>
    </row>
    <row r="217" spans="1:21" x14ac:dyDescent="0.25">
      <c r="A217" s="304"/>
      <c r="B217" s="80" t="s">
        <v>27</v>
      </c>
      <c r="C217" s="34">
        <v>1</v>
      </c>
      <c r="D217" s="35">
        <v>1</v>
      </c>
      <c r="E217" s="36">
        <f>C217/D217</f>
        <v>1</v>
      </c>
      <c r="F217" s="37">
        <v>0</v>
      </c>
      <c r="G217" s="37">
        <v>4</v>
      </c>
      <c r="H217" s="37">
        <f>(E217+F217)*G217</f>
        <v>4</v>
      </c>
      <c r="I217" s="11">
        <f>H217/4</f>
        <v>1</v>
      </c>
      <c r="J217" s="72">
        <v>130</v>
      </c>
      <c r="K217" s="13">
        <f>0.64*0.9*J217/1000</f>
        <v>7.4880000000000016E-2</v>
      </c>
      <c r="L217" s="38">
        <v>5</v>
      </c>
      <c r="M217" s="39">
        <f>H217*L217</f>
        <v>20</v>
      </c>
      <c r="N217" s="41">
        <f>M217*0.2</f>
        <v>4</v>
      </c>
      <c r="O217" s="79">
        <v>80</v>
      </c>
      <c r="P217" s="42">
        <f>(L217+O217)*H217+N217</f>
        <v>344</v>
      </c>
      <c r="Q217" s="75">
        <f>I217*K217*9</f>
        <v>0.67392000000000019</v>
      </c>
      <c r="R217" s="306">
        <f>C219*0.23*2</f>
        <v>0.46</v>
      </c>
      <c r="S217" s="307">
        <v>0.2</v>
      </c>
      <c r="T217" s="308">
        <f>(P217+P219+P218+R217)+((P217+P219+P218+R217)*S217)+(Q217+Q218+Q219)</f>
        <v>467.19551999999993</v>
      </c>
      <c r="U217" s="309">
        <f>T217/C219</f>
        <v>467.19551999999993</v>
      </c>
    </row>
    <row r="218" spans="1:21" x14ac:dyDescent="0.25">
      <c r="A218" s="304"/>
      <c r="B218" s="80"/>
      <c r="C218" s="34">
        <v>0</v>
      </c>
      <c r="D218" s="35">
        <v>1</v>
      </c>
      <c r="E218" s="36">
        <f>C218/D218</f>
        <v>0</v>
      </c>
      <c r="F218" s="37">
        <v>0</v>
      </c>
      <c r="G218" s="37">
        <v>0</v>
      </c>
      <c r="H218" s="37">
        <f>(E218+F218)*G218</f>
        <v>0</v>
      </c>
      <c r="I218" s="11">
        <f>H218/4</f>
        <v>0</v>
      </c>
      <c r="J218" s="72">
        <v>0</v>
      </c>
      <c r="K218" s="13">
        <f>0.64*0.9*J218/1000</f>
        <v>0</v>
      </c>
      <c r="L218" s="38">
        <v>0</v>
      </c>
      <c r="M218" s="39">
        <v>0</v>
      </c>
      <c r="N218" s="41">
        <f>M218*0.2</f>
        <v>0</v>
      </c>
      <c r="O218" s="79">
        <v>0</v>
      </c>
      <c r="P218" s="42">
        <f>(L218+O218)*H218+N218</f>
        <v>0</v>
      </c>
      <c r="Q218" s="75">
        <f>I218*K218*9</f>
        <v>0</v>
      </c>
      <c r="R218" s="275"/>
      <c r="S218" s="278"/>
      <c r="T218" s="262"/>
      <c r="U218" s="265"/>
    </row>
    <row r="219" spans="1:21" ht="15.75" thickBot="1" x14ac:dyDescent="0.3">
      <c r="A219" s="305"/>
      <c r="B219" s="88" t="s">
        <v>29</v>
      </c>
      <c r="C219" s="89">
        <v>1</v>
      </c>
      <c r="D219" s="43">
        <v>2</v>
      </c>
      <c r="E219" s="44">
        <f>C219/D219</f>
        <v>0.5</v>
      </c>
      <c r="F219" s="45">
        <v>0</v>
      </c>
      <c r="G219" s="45">
        <v>1</v>
      </c>
      <c r="H219" s="45">
        <f>(E219+F219)*G219</f>
        <v>0.5</v>
      </c>
      <c r="I219" s="90">
        <f>H219/4</f>
        <v>0.125</v>
      </c>
      <c r="J219" s="73">
        <v>200</v>
      </c>
      <c r="K219" s="58">
        <f>0.64*0.9*J219/1000</f>
        <v>0.11520000000000001</v>
      </c>
      <c r="L219" s="46">
        <v>7</v>
      </c>
      <c r="M219" s="47">
        <f>H219*L219</f>
        <v>3.5</v>
      </c>
      <c r="N219" s="49">
        <f>M219*0.2</f>
        <v>0.70000000000000007</v>
      </c>
      <c r="O219" s="91">
        <v>80</v>
      </c>
      <c r="P219" s="50">
        <f>(L219+O219)*H219+N219</f>
        <v>44.2</v>
      </c>
      <c r="Q219" s="76">
        <f>I219*K219*9</f>
        <v>0.12960000000000002</v>
      </c>
      <c r="R219" s="294"/>
      <c r="S219" s="295"/>
      <c r="T219" s="292"/>
      <c r="U219" s="293"/>
    </row>
    <row r="220" spans="1:21" ht="75" x14ac:dyDescent="0.25">
      <c r="A220" s="303" t="s">
        <v>146</v>
      </c>
      <c r="B220" s="81"/>
      <c r="C220" s="82" t="s">
        <v>20</v>
      </c>
      <c r="D220" s="83" t="s">
        <v>2</v>
      </c>
      <c r="E220" s="84" t="s">
        <v>3</v>
      </c>
      <c r="F220" s="83" t="s">
        <v>4</v>
      </c>
      <c r="G220" s="83" t="s">
        <v>21</v>
      </c>
      <c r="H220" s="83" t="s">
        <v>22</v>
      </c>
      <c r="I220" s="85" t="s">
        <v>5</v>
      </c>
      <c r="J220" s="83" t="s">
        <v>6</v>
      </c>
      <c r="K220" s="83" t="s">
        <v>7</v>
      </c>
      <c r="L220" s="83" t="s">
        <v>8</v>
      </c>
      <c r="M220" s="83" t="s">
        <v>9</v>
      </c>
      <c r="N220" s="83" t="s">
        <v>36</v>
      </c>
      <c r="O220" s="83" t="s">
        <v>39</v>
      </c>
      <c r="P220" s="83" t="s">
        <v>40</v>
      </c>
      <c r="Q220" s="83" t="s">
        <v>15</v>
      </c>
      <c r="R220" s="86" t="s">
        <v>24</v>
      </c>
      <c r="S220" s="83" t="s">
        <v>25</v>
      </c>
      <c r="T220" s="83" t="s">
        <v>18</v>
      </c>
      <c r="U220" s="87" t="s">
        <v>26</v>
      </c>
    </row>
    <row r="221" spans="1:21" x14ac:dyDescent="0.25">
      <c r="A221" s="304"/>
      <c r="B221" s="80" t="s">
        <v>27</v>
      </c>
      <c r="C221" s="34">
        <v>100</v>
      </c>
      <c r="D221" s="35">
        <v>1</v>
      </c>
      <c r="E221" s="36">
        <f>C221/D221</f>
        <v>100</v>
      </c>
      <c r="F221" s="37">
        <v>0</v>
      </c>
      <c r="G221" s="37">
        <v>10</v>
      </c>
      <c r="H221" s="37">
        <f>(E221+F221)*G221</f>
        <v>1000</v>
      </c>
      <c r="I221" s="11">
        <f>H221/4</f>
        <v>250</v>
      </c>
      <c r="J221" s="72">
        <v>80</v>
      </c>
      <c r="K221" s="13">
        <f>0.64*0.9*J221/1000</f>
        <v>4.6080000000000003E-2</v>
      </c>
      <c r="L221" s="38">
        <v>3</v>
      </c>
      <c r="M221" s="39">
        <f>H221*L221</f>
        <v>3000</v>
      </c>
      <c r="N221" s="41">
        <f>M221*0</f>
        <v>0</v>
      </c>
      <c r="O221" s="79">
        <v>0</v>
      </c>
      <c r="P221" s="42">
        <f>(L221+O221)*H221+N221</f>
        <v>3000</v>
      </c>
      <c r="Q221" s="75">
        <f>I221*K221*9</f>
        <v>103.68</v>
      </c>
      <c r="R221" s="306">
        <f>24*0.41*C222</f>
        <v>984</v>
      </c>
      <c r="S221" s="307">
        <v>0.3</v>
      </c>
      <c r="T221" s="308">
        <f>(P221+P223+P222+R221)+((P221+P223+P222+R221)*S221)+(Q221+Q222+Q223)</f>
        <v>7512.32</v>
      </c>
      <c r="U221" s="309">
        <f>T221/C222</f>
        <v>75.123199999999997</v>
      </c>
    </row>
    <row r="222" spans="1:21" x14ac:dyDescent="0.25">
      <c r="A222" s="304"/>
      <c r="B222" s="80" t="s">
        <v>29</v>
      </c>
      <c r="C222" s="34">
        <v>100</v>
      </c>
      <c r="D222" s="35">
        <v>4</v>
      </c>
      <c r="E222" s="36">
        <f>C222/D222</f>
        <v>25</v>
      </c>
      <c r="F222" s="37">
        <v>0</v>
      </c>
      <c r="G222" s="37">
        <v>1</v>
      </c>
      <c r="H222" s="37">
        <f>(E222+F222)*G222</f>
        <v>25</v>
      </c>
      <c r="I222" s="11">
        <f>H222/4</f>
        <v>6.25</v>
      </c>
      <c r="J222" s="72">
        <v>300</v>
      </c>
      <c r="K222" s="13">
        <f>0.64*0.9*J222/1000</f>
        <v>0.17280000000000001</v>
      </c>
      <c r="L222" s="38">
        <v>14</v>
      </c>
      <c r="M222" s="39">
        <f>H222*L222</f>
        <v>350</v>
      </c>
      <c r="N222" s="41">
        <f>M222*0</f>
        <v>0</v>
      </c>
      <c r="O222" s="79">
        <v>40</v>
      </c>
      <c r="P222" s="42">
        <f>(L222+O222)*(H222+N222)</f>
        <v>1350</v>
      </c>
      <c r="Q222" s="75">
        <f>I222*K222*9</f>
        <v>9.7200000000000006</v>
      </c>
      <c r="R222" s="275"/>
      <c r="S222" s="278"/>
      <c r="T222" s="262"/>
      <c r="U222" s="265"/>
    </row>
    <row r="223" spans="1:21" ht="15.75" thickBot="1" x14ac:dyDescent="0.3">
      <c r="A223" s="305"/>
      <c r="B223" s="88" t="s">
        <v>98</v>
      </c>
      <c r="C223" s="89">
        <v>100</v>
      </c>
      <c r="D223" s="43">
        <v>4</v>
      </c>
      <c r="E223" s="44">
        <f>C223/D223</f>
        <v>25</v>
      </c>
      <c r="F223" s="45">
        <v>0</v>
      </c>
      <c r="G223" s="45">
        <v>1</v>
      </c>
      <c r="H223" s="45">
        <f>(E223+F223)*G223</f>
        <v>25</v>
      </c>
      <c r="I223" s="90">
        <f>H223/4</f>
        <v>6.25</v>
      </c>
      <c r="J223" s="73">
        <v>300</v>
      </c>
      <c r="K223" s="58">
        <f>0.64*0.9*J223/1000</f>
        <v>0.17280000000000001</v>
      </c>
      <c r="L223" s="46">
        <v>14</v>
      </c>
      <c r="M223" s="47">
        <f>H223*L223</f>
        <v>350</v>
      </c>
      <c r="N223" s="49">
        <f>M223*0</f>
        <v>0</v>
      </c>
      <c r="O223" s="91">
        <v>0</v>
      </c>
      <c r="P223" s="50">
        <f>(L223+O223)*(H223+N223)</f>
        <v>350</v>
      </c>
      <c r="Q223" s="76">
        <f>I223*K223*9</f>
        <v>9.7200000000000006</v>
      </c>
      <c r="R223" s="294"/>
      <c r="S223" s="295"/>
      <c r="T223" s="292"/>
      <c r="U223" s="293"/>
    </row>
  </sheetData>
  <mergeCells count="225">
    <mergeCell ref="A212:A215"/>
    <mergeCell ref="R213:R215"/>
    <mergeCell ref="S213:S215"/>
    <mergeCell ref="T213:T215"/>
    <mergeCell ref="U213:U215"/>
    <mergeCell ref="A208:A211"/>
    <mergeCell ref="R209:R211"/>
    <mergeCell ref="S209:S211"/>
    <mergeCell ref="T209:T211"/>
    <mergeCell ref="U209:U211"/>
    <mergeCell ref="A192:A195"/>
    <mergeCell ref="R193:R195"/>
    <mergeCell ref="S193:S195"/>
    <mergeCell ref="T193:T195"/>
    <mergeCell ref="U193:U195"/>
    <mergeCell ref="A204:A207"/>
    <mergeCell ref="R205:R207"/>
    <mergeCell ref="S205:S207"/>
    <mergeCell ref="T205:T207"/>
    <mergeCell ref="U205:U207"/>
    <mergeCell ref="A200:A203"/>
    <mergeCell ref="R201:R203"/>
    <mergeCell ref="S201:S203"/>
    <mergeCell ref="T201:T203"/>
    <mergeCell ref="U201:U203"/>
    <mergeCell ref="A196:A199"/>
    <mergeCell ref="R197:R199"/>
    <mergeCell ref="S197:S199"/>
    <mergeCell ref="T197:T199"/>
    <mergeCell ref="U197:U199"/>
    <mergeCell ref="A164:A166"/>
    <mergeCell ref="R165:R166"/>
    <mergeCell ref="S165:S166"/>
    <mergeCell ref="T165:T166"/>
    <mergeCell ref="U165:U166"/>
    <mergeCell ref="T75:T77"/>
    <mergeCell ref="U75:U77"/>
    <mergeCell ref="A141:A144"/>
    <mergeCell ref="R142:R144"/>
    <mergeCell ref="S142:S144"/>
    <mergeCell ref="T142:T144"/>
    <mergeCell ref="U142:U144"/>
    <mergeCell ref="U124:U125"/>
    <mergeCell ref="A131:A134"/>
    <mergeCell ref="R132:R134"/>
    <mergeCell ref="S132:S134"/>
    <mergeCell ref="T132:T134"/>
    <mergeCell ref="U132:U134"/>
    <mergeCell ref="A136:A139"/>
    <mergeCell ref="R137:R139"/>
    <mergeCell ref="S137:S139"/>
    <mergeCell ref="T137:T139"/>
    <mergeCell ref="U137:U139"/>
    <mergeCell ref="U79:U81"/>
    <mergeCell ref="A94:A97"/>
    <mergeCell ref="R95:R97"/>
    <mergeCell ref="S95:S97"/>
    <mergeCell ref="T95:T97"/>
    <mergeCell ref="U95:U97"/>
    <mergeCell ref="A62:A65"/>
    <mergeCell ref="R63:R65"/>
    <mergeCell ref="S63:S65"/>
    <mergeCell ref="T63:T65"/>
    <mergeCell ref="U63:U65"/>
    <mergeCell ref="T87:T89"/>
    <mergeCell ref="U87:U89"/>
    <mergeCell ref="A70:A73"/>
    <mergeCell ref="R71:R73"/>
    <mergeCell ref="S71:S73"/>
    <mergeCell ref="T71:T73"/>
    <mergeCell ref="U71:U73"/>
    <mergeCell ref="A78:A81"/>
    <mergeCell ref="R79:R81"/>
    <mergeCell ref="S79:S81"/>
    <mergeCell ref="T79:T81"/>
    <mergeCell ref="R67:R69"/>
    <mergeCell ref="S67:S69"/>
    <mergeCell ref="T67:T69"/>
    <mergeCell ref="U67:U69"/>
    <mergeCell ref="A66:A69"/>
    <mergeCell ref="A74:A77"/>
    <mergeCell ref="R75:R77"/>
    <mergeCell ref="S75:S77"/>
    <mergeCell ref="A28:A31"/>
    <mergeCell ref="R29:R31"/>
    <mergeCell ref="S29:S31"/>
    <mergeCell ref="T29:T31"/>
    <mergeCell ref="U29:U31"/>
    <mergeCell ref="A36:A39"/>
    <mergeCell ref="R37:R39"/>
    <mergeCell ref="S37:S39"/>
    <mergeCell ref="T37:T39"/>
    <mergeCell ref="U37:U39"/>
    <mergeCell ref="A32:A35"/>
    <mergeCell ref="R33:R35"/>
    <mergeCell ref="S33:S35"/>
    <mergeCell ref="T33:T35"/>
    <mergeCell ref="U33:U35"/>
    <mergeCell ref="U51:U53"/>
    <mergeCell ref="R41:R43"/>
    <mergeCell ref="S41:S43"/>
    <mergeCell ref="T41:T43"/>
    <mergeCell ref="B18:M18"/>
    <mergeCell ref="R25:R27"/>
    <mergeCell ref="S25:S27"/>
    <mergeCell ref="T25:T27"/>
    <mergeCell ref="U25:U27"/>
    <mergeCell ref="A20:A23"/>
    <mergeCell ref="R21:R23"/>
    <mergeCell ref="S21:S23"/>
    <mergeCell ref="T21:T23"/>
    <mergeCell ref="U21:U23"/>
    <mergeCell ref="A24:A27"/>
    <mergeCell ref="A1:A4"/>
    <mergeCell ref="R2:R4"/>
    <mergeCell ref="S2:S4"/>
    <mergeCell ref="T2:T4"/>
    <mergeCell ref="U2:U4"/>
    <mergeCell ref="B7:M7"/>
    <mergeCell ref="B9:M11"/>
    <mergeCell ref="B13:M14"/>
    <mergeCell ref="B16:M16"/>
    <mergeCell ref="U41:U43"/>
    <mergeCell ref="A40:A43"/>
    <mergeCell ref="A44:A49"/>
    <mergeCell ref="R45:R49"/>
    <mergeCell ref="S45:S49"/>
    <mergeCell ref="T45:T49"/>
    <mergeCell ref="U45:U49"/>
    <mergeCell ref="A50:A53"/>
    <mergeCell ref="R51:R53"/>
    <mergeCell ref="S51:S53"/>
    <mergeCell ref="T51:T53"/>
    <mergeCell ref="A58:A61"/>
    <mergeCell ref="R59:R61"/>
    <mergeCell ref="S59:S61"/>
    <mergeCell ref="T59:T61"/>
    <mergeCell ref="U59:U61"/>
    <mergeCell ref="A54:A57"/>
    <mergeCell ref="R55:R57"/>
    <mergeCell ref="S55:S57"/>
    <mergeCell ref="T55:T57"/>
    <mergeCell ref="U55:U57"/>
    <mergeCell ref="A90:A93"/>
    <mergeCell ref="R91:R93"/>
    <mergeCell ref="S91:S93"/>
    <mergeCell ref="T91:T93"/>
    <mergeCell ref="U91:U93"/>
    <mergeCell ref="A82:A85"/>
    <mergeCell ref="R83:R85"/>
    <mergeCell ref="S83:S85"/>
    <mergeCell ref="T83:T85"/>
    <mergeCell ref="U83:U85"/>
    <mergeCell ref="A86:A89"/>
    <mergeCell ref="R87:R89"/>
    <mergeCell ref="S87:S89"/>
    <mergeCell ref="A108:A111"/>
    <mergeCell ref="R109:R111"/>
    <mergeCell ref="S109:S111"/>
    <mergeCell ref="T109:T111"/>
    <mergeCell ref="U109:U111"/>
    <mergeCell ref="A113:A116"/>
    <mergeCell ref="R114:R116"/>
    <mergeCell ref="S114:S116"/>
    <mergeCell ref="T114:T116"/>
    <mergeCell ref="U114:U116"/>
    <mergeCell ref="A146:A149"/>
    <mergeCell ref="R147:R149"/>
    <mergeCell ref="S147:S149"/>
    <mergeCell ref="T147:T149"/>
    <mergeCell ref="U147:U149"/>
    <mergeCell ref="A118:A121"/>
    <mergeCell ref="R119:R121"/>
    <mergeCell ref="S119:S121"/>
    <mergeCell ref="T119:T121"/>
    <mergeCell ref="U119:U121"/>
    <mergeCell ref="A123:A125"/>
    <mergeCell ref="R124:R125"/>
    <mergeCell ref="S124:S125"/>
    <mergeCell ref="T124:T125"/>
    <mergeCell ref="A159:A162"/>
    <mergeCell ref="R160:R162"/>
    <mergeCell ref="S160:S162"/>
    <mergeCell ref="T160:T162"/>
    <mergeCell ref="U160:U162"/>
    <mergeCell ref="A151:A153"/>
    <mergeCell ref="R152:R153"/>
    <mergeCell ref="S152:S153"/>
    <mergeCell ref="T152:T153"/>
    <mergeCell ref="U152:U153"/>
    <mergeCell ref="A172:A175"/>
    <mergeCell ref="R173:R175"/>
    <mergeCell ref="S173:S175"/>
    <mergeCell ref="T173:T175"/>
    <mergeCell ref="U173:U175"/>
    <mergeCell ref="A176:A179"/>
    <mergeCell ref="R177:R179"/>
    <mergeCell ref="S177:S179"/>
    <mergeCell ref="T177:T179"/>
    <mergeCell ref="U177:U179"/>
    <mergeCell ref="T189:T191"/>
    <mergeCell ref="A180:A183"/>
    <mergeCell ref="R181:R183"/>
    <mergeCell ref="S181:S183"/>
    <mergeCell ref="T181:T183"/>
    <mergeCell ref="U181:U183"/>
    <mergeCell ref="A184:A187"/>
    <mergeCell ref="R185:R187"/>
    <mergeCell ref="S185:S187"/>
    <mergeCell ref="T185:T187"/>
    <mergeCell ref="U185:U187"/>
    <mergeCell ref="U189:U191"/>
    <mergeCell ref="A188:A191"/>
    <mergeCell ref="R189:R191"/>
    <mergeCell ref="S189:S191"/>
    <mergeCell ref="A216:A219"/>
    <mergeCell ref="R217:R219"/>
    <mergeCell ref="S217:S219"/>
    <mergeCell ref="T217:T219"/>
    <mergeCell ref="U217:U219"/>
    <mergeCell ref="A220:A223"/>
    <mergeCell ref="R221:R223"/>
    <mergeCell ref="S221:S223"/>
    <mergeCell ref="T221:T223"/>
    <mergeCell ref="U221:U223"/>
  </mergeCells>
  <pageMargins left="0.7" right="0.7" top="0.75" bottom="0.75" header="0.3" footer="0.3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-0.249977111117893"/>
    <pageSetUpPr fitToPage="1"/>
  </sheetPr>
  <dimension ref="A1:W61"/>
  <sheetViews>
    <sheetView topLeftCell="A46" zoomScale="80" zoomScaleNormal="80" workbookViewId="0">
      <selection activeCell="A57" sqref="A57:A61"/>
    </sheetView>
  </sheetViews>
  <sheetFormatPr defaultColWidth="9.140625" defaultRowHeight="15" x14ac:dyDescent="0.25"/>
  <cols>
    <col min="1" max="1" width="14.140625" style="24" customWidth="1"/>
    <col min="2" max="2" width="9.140625" style="24"/>
    <col min="3" max="8" width="9.28515625" style="24" bestFit="1" customWidth="1"/>
    <col min="9" max="11" width="9.28515625" style="24" customWidth="1"/>
    <col min="12" max="12" width="9.28515625" style="24" bestFit="1" customWidth="1"/>
    <col min="13" max="13" width="11.85546875" style="24" bestFit="1" customWidth="1"/>
    <col min="14" max="14" width="10.140625" style="24" customWidth="1"/>
    <col min="15" max="15" width="12" style="24" customWidth="1"/>
    <col min="16" max="16" width="10.7109375" style="24" bestFit="1" customWidth="1"/>
    <col min="17" max="17" width="9.28515625" style="24" bestFit="1" customWidth="1"/>
    <col min="18" max="18" width="10.85546875" style="24" customWidth="1"/>
    <col min="19" max="19" width="10.28515625" style="24" customWidth="1"/>
    <col min="20" max="20" width="14.85546875" style="24" customWidth="1"/>
    <col min="21" max="21" width="9.28515625" style="24" bestFit="1" customWidth="1"/>
    <col min="22" max="22" width="14.28515625" style="24" customWidth="1"/>
    <col min="23" max="23" width="9.28515625" style="24" bestFit="1" customWidth="1"/>
    <col min="24" max="16384" width="9.140625" style="24"/>
  </cols>
  <sheetData>
    <row r="1" spans="1:23" ht="15.75" thickBot="1" x14ac:dyDescent="0.3">
      <c r="A1" s="353" t="s">
        <v>30</v>
      </c>
      <c r="B1" s="354" t="s">
        <v>37</v>
      </c>
      <c r="C1" s="67">
        <v>1</v>
      </c>
      <c r="D1" s="68">
        <v>2</v>
      </c>
      <c r="E1" s="68">
        <v>3</v>
      </c>
      <c r="F1" s="68">
        <v>4</v>
      </c>
      <c r="G1" s="68">
        <v>5</v>
      </c>
      <c r="H1" s="68">
        <v>6</v>
      </c>
      <c r="I1" s="68">
        <v>7</v>
      </c>
      <c r="J1" s="68">
        <v>8</v>
      </c>
      <c r="K1" s="68">
        <v>9</v>
      </c>
      <c r="L1" s="68">
        <v>10</v>
      </c>
      <c r="M1" s="68">
        <v>11</v>
      </c>
      <c r="N1" s="68">
        <v>12</v>
      </c>
      <c r="O1" s="68">
        <v>13</v>
      </c>
      <c r="P1" s="68">
        <v>14</v>
      </c>
      <c r="Q1" s="68">
        <v>15</v>
      </c>
      <c r="R1" s="68">
        <v>16</v>
      </c>
      <c r="S1" s="68">
        <v>17</v>
      </c>
      <c r="T1" s="68">
        <v>18</v>
      </c>
      <c r="U1" s="68">
        <v>19</v>
      </c>
      <c r="V1" s="68">
        <v>20</v>
      </c>
      <c r="W1" s="69">
        <v>21</v>
      </c>
    </row>
    <row r="2" spans="1:23" ht="60.75" thickBot="1" x14ac:dyDescent="0.3">
      <c r="A2" s="284"/>
      <c r="B2" s="355"/>
      <c r="C2" s="60" t="s">
        <v>20</v>
      </c>
      <c r="D2" s="61" t="s">
        <v>2</v>
      </c>
      <c r="E2" s="62" t="s">
        <v>3</v>
      </c>
      <c r="F2" s="61" t="s">
        <v>4</v>
      </c>
      <c r="G2" s="61" t="s">
        <v>21</v>
      </c>
      <c r="H2" s="61" t="s">
        <v>22</v>
      </c>
      <c r="I2" s="63" t="s">
        <v>5</v>
      </c>
      <c r="J2" s="61" t="s">
        <v>6</v>
      </c>
      <c r="K2" s="61" t="s">
        <v>7</v>
      </c>
      <c r="L2" s="61" t="s">
        <v>8</v>
      </c>
      <c r="M2" s="61" t="s">
        <v>9</v>
      </c>
      <c r="N2" s="64" t="s">
        <v>23</v>
      </c>
      <c r="O2" s="61" t="s">
        <v>36</v>
      </c>
      <c r="P2" s="61" t="s">
        <v>11</v>
      </c>
      <c r="Q2" s="61" t="s">
        <v>12</v>
      </c>
      <c r="R2" s="61" t="s">
        <v>13</v>
      </c>
      <c r="S2" s="61" t="s">
        <v>15</v>
      </c>
      <c r="T2" s="65" t="s">
        <v>24</v>
      </c>
      <c r="U2" s="61" t="s">
        <v>25</v>
      </c>
      <c r="V2" s="61" t="s">
        <v>18</v>
      </c>
      <c r="W2" s="66" t="s">
        <v>26</v>
      </c>
    </row>
    <row r="3" spans="1:23" ht="15" customHeight="1" x14ac:dyDescent="0.25">
      <c r="A3" s="284"/>
      <c r="B3" s="95" t="s">
        <v>27</v>
      </c>
      <c r="C3" s="54">
        <v>500</v>
      </c>
      <c r="D3" s="25">
        <v>1</v>
      </c>
      <c r="E3" s="26">
        <f>C3/D3</f>
        <v>500</v>
      </c>
      <c r="F3" s="27">
        <v>100</v>
      </c>
      <c r="G3" s="27">
        <v>23</v>
      </c>
      <c r="H3" s="28">
        <f>(E3+F3)*G3</f>
        <v>13800</v>
      </c>
      <c r="I3" s="52">
        <f>H3/4</f>
        <v>3450</v>
      </c>
      <c r="J3" s="71">
        <v>80</v>
      </c>
      <c r="K3" s="55">
        <f>0.64*0.9*J3/1000</f>
        <v>4.6080000000000003E-2</v>
      </c>
      <c r="L3" s="29">
        <v>1.1000000000000001</v>
      </c>
      <c r="M3" s="30">
        <f>(E3+F3)*G3*L3</f>
        <v>15180.000000000002</v>
      </c>
      <c r="N3" s="31">
        <f>G3*2*175</f>
        <v>8050</v>
      </c>
      <c r="O3" s="32">
        <f>M3*0.4</f>
        <v>6072.0000000000009</v>
      </c>
      <c r="P3" s="32">
        <f>M3+N3+O3</f>
        <v>29302</v>
      </c>
      <c r="Q3" s="286">
        <v>2.2000000000000002</v>
      </c>
      <c r="R3" s="33">
        <f>P3*Q3</f>
        <v>64464.400000000009</v>
      </c>
      <c r="S3" s="74">
        <f>I3*K3*3.5</f>
        <v>556.41599999999994</v>
      </c>
      <c r="T3" s="288">
        <f>C3*60+H5*6</f>
        <v>33600</v>
      </c>
      <c r="U3" s="290">
        <v>0.3</v>
      </c>
      <c r="V3" s="280">
        <f>(R3+R5+R4+T3)+((R3+R5+R4+T3)*U3)+(S3+S4+S5)</f>
        <v>137280.728</v>
      </c>
      <c r="W3" s="282">
        <f>V3/C5</f>
        <v>274.56145600000002</v>
      </c>
    </row>
    <row r="4" spans="1:23" x14ac:dyDescent="0.25">
      <c r="A4" s="284"/>
      <c r="B4" s="96" t="s">
        <v>28</v>
      </c>
      <c r="C4" s="56">
        <v>500</v>
      </c>
      <c r="D4" s="35">
        <v>1</v>
      </c>
      <c r="E4" s="36">
        <f>C4/D4</f>
        <v>500</v>
      </c>
      <c r="F4" s="37">
        <v>100</v>
      </c>
      <c r="G4" s="37">
        <v>1</v>
      </c>
      <c r="H4" s="37">
        <f>(E4+F4)*G4</f>
        <v>600</v>
      </c>
      <c r="I4" s="51">
        <f>H4/4</f>
        <v>150</v>
      </c>
      <c r="J4" s="72">
        <v>120</v>
      </c>
      <c r="K4" s="13">
        <f>0.64*0.9*J4/1000</f>
        <v>6.9120000000000001E-2</v>
      </c>
      <c r="L4" s="38">
        <v>1.44</v>
      </c>
      <c r="M4" s="39">
        <f>(E4+F4)*G4*L4</f>
        <v>864</v>
      </c>
      <c r="N4" s="40">
        <v>0</v>
      </c>
      <c r="O4" s="41">
        <f>M4*0.4</f>
        <v>345.6</v>
      </c>
      <c r="P4" s="41">
        <f>M4+N4+O4</f>
        <v>1209.5999999999999</v>
      </c>
      <c r="Q4" s="352"/>
      <c r="R4" s="42">
        <f>P4*Q3</f>
        <v>2661.12</v>
      </c>
      <c r="S4" s="75">
        <f>I4*K4*3.5</f>
        <v>36.288000000000004</v>
      </c>
      <c r="T4" s="319"/>
      <c r="U4" s="320"/>
      <c r="V4" s="321"/>
      <c r="W4" s="322"/>
    </row>
    <row r="5" spans="1:23" ht="15.75" thickBot="1" x14ac:dyDescent="0.3">
      <c r="A5" s="285"/>
      <c r="B5" s="97" t="s">
        <v>29</v>
      </c>
      <c r="C5" s="57">
        <v>500</v>
      </c>
      <c r="D5" s="43">
        <v>1</v>
      </c>
      <c r="E5" s="44">
        <f>C5/D5</f>
        <v>500</v>
      </c>
      <c r="F5" s="45">
        <v>100</v>
      </c>
      <c r="G5" s="45">
        <v>1</v>
      </c>
      <c r="H5" s="45">
        <f>(E5+F5)*G5</f>
        <v>600</v>
      </c>
      <c r="I5" s="53">
        <f>H5/4</f>
        <v>150</v>
      </c>
      <c r="J5" s="73">
        <v>120</v>
      </c>
      <c r="K5" s="58">
        <f>0.64*0.9*J5/1000</f>
        <v>6.9120000000000001E-2</v>
      </c>
      <c r="L5" s="46">
        <v>1.44</v>
      </c>
      <c r="M5" s="47">
        <f>(E5+F5)*L5</f>
        <v>864</v>
      </c>
      <c r="N5" s="48">
        <f>G5*4*175</f>
        <v>700</v>
      </c>
      <c r="O5" s="49">
        <f>M5*0.5</f>
        <v>432</v>
      </c>
      <c r="P5" s="49">
        <f>M5+N5+O5</f>
        <v>1996</v>
      </c>
      <c r="Q5" s="287"/>
      <c r="R5" s="50">
        <f>P5*Q3</f>
        <v>4391.2000000000007</v>
      </c>
      <c r="S5" s="76">
        <f>I5*K5*3.5</f>
        <v>36.288000000000004</v>
      </c>
      <c r="T5" s="289"/>
      <c r="U5" s="291"/>
      <c r="V5" s="281"/>
      <c r="W5" s="283"/>
    </row>
    <row r="7" spans="1:23" ht="15.75" thickBot="1" x14ac:dyDescent="0.3"/>
    <row r="8" spans="1:23" ht="15.75" thickBot="1" x14ac:dyDescent="0.3">
      <c r="B8" s="326" t="s">
        <v>32</v>
      </c>
      <c r="C8" s="327"/>
      <c r="D8" s="327"/>
      <c r="E8" s="327"/>
      <c r="F8" s="327"/>
      <c r="G8" s="327"/>
      <c r="H8" s="327"/>
      <c r="I8" s="327"/>
      <c r="J8" s="327"/>
      <c r="K8" s="327"/>
      <c r="L8" s="327"/>
      <c r="M8" s="327"/>
      <c r="N8" s="328"/>
      <c r="O8" s="59"/>
    </row>
    <row r="9" spans="1:23" ht="15.75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23" x14ac:dyDescent="0.25">
      <c r="B10" s="329" t="s">
        <v>31</v>
      </c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1"/>
      <c r="O10" s="59"/>
    </row>
    <row r="11" spans="1:23" x14ac:dyDescent="0.25">
      <c r="B11" s="332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4"/>
      <c r="O11" s="59"/>
    </row>
    <row r="12" spans="1:23" ht="15.75" thickBot="1" x14ac:dyDescent="0.3">
      <c r="B12" s="335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7"/>
      <c r="O12" s="59"/>
    </row>
    <row r="13" spans="1:23" ht="15.75" thickBot="1" x14ac:dyDescent="0.3"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</row>
    <row r="14" spans="1:23" x14ac:dyDescent="0.25">
      <c r="B14" s="338" t="s">
        <v>33</v>
      </c>
      <c r="C14" s="339"/>
      <c r="D14" s="339"/>
      <c r="E14" s="339"/>
      <c r="F14" s="339"/>
      <c r="G14" s="339"/>
      <c r="H14" s="339"/>
      <c r="I14" s="339"/>
      <c r="J14" s="339"/>
      <c r="K14" s="339"/>
      <c r="L14" s="339"/>
      <c r="M14" s="339"/>
      <c r="N14" s="340"/>
      <c r="O14" s="59"/>
    </row>
    <row r="15" spans="1:23" ht="15.75" thickBot="1" x14ac:dyDescent="0.3">
      <c r="B15" s="341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343"/>
      <c r="O15" s="59"/>
    </row>
    <row r="16" spans="1:23" ht="15.75" thickBot="1" x14ac:dyDescent="0.3"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23" ht="15.75" thickBot="1" x14ac:dyDescent="0.3">
      <c r="B17" s="344" t="s">
        <v>34</v>
      </c>
      <c r="C17" s="345"/>
      <c r="D17" s="345"/>
      <c r="E17" s="345"/>
      <c r="F17" s="345"/>
      <c r="G17" s="345"/>
      <c r="H17" s="345"/>
      <c r="I17" s="345"/>
      <c r="J17" s="345"/>
      <c r="K17" s="345"/>
      <c r="L17" s="345"/>
      <c r="M17" s="345"/>
      <c r="N17" s="356"/>
    </row>
    <row r="18" spans="1:23" ht="15.75" thickBot="1" x14ac:dyDescent="0.3"/>
    <row r="19" spans="1:23" ht="15.75" thickBot="1" x14ac:dyDescent="0.3">
      <c r="B19" s="346" t="s">
        <v>38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57"/>
    </row>
    <row r="20" spans="1:23" ht="15.75" thickBot="1" x14ac:dyDescent="0.3"/>
    <row r="21" spans="1:23" ht="15.75" thickBot="1" x14ac:dyDescent="0.3">
      <c r="A21" s="358" t="s">
        <v>73</v>
      </c>
      <c r="B21" s="361" t="s">
        <v>37</v>
      </c>
      <c r="C21" s="67">
        <v>1</v>
      </c>
      <c r="D21" s="68">
        <v>2</v>
      </c>
      <c r="E21" s="68">
        <v>3</v>
      </c>
      <c r="F21" s="68">
        <v>4</v>
      </c>
      <c r="G21" s="68">
        <v>5</v>
      </c>
      <c r="H21" s="68">
        <v>6</v>
      </c>
      <c r="I21" s="68">
        <v>7</v>
      </c>
      <c r="J21" s="68">
        <v>8</v>
      </c>
      <c r="K21" s="68">
        <v>9</v>
      </c>
      <c r="L21" s="68">
        <v>10</v>
      </c>
      <c r="M21" s="68">
        <v>11</v>
      </c>
      <c r="N21" s="68">
        <v>12</v>
      </c>
      <c r="O21" s="68">
        <v>13</v>
      </c>
      <c r="P21" s="68">
        <v>14</v>
      </c>
      <c r="Q21" s="68">
        <v>15</v>
      </c>
      <c r="R21" s="68">
        <v>16</v>
      </c>
      <c r="S21" s="68">
        <v>17</v>
      </c>
      <c r="T21" s="68">
        <v>18</v>
      </c>
      <c r="U21" s="68">
        <v>19</v>
      </c>
      <c r="V21" s="68">
        <v>20</v>
      </c>
      <c r="W21" s="69">
        <v>21</v>
      </c>
    </row>
    <row r="22" spans="1:23" ht="60.75" thickBot="1" x14ac:dyDescent="0.3">
      <c r="A22" s="359"/>
      <c r="B22" s="355"/>
      <c r="C22" s="60" t="s">
        <v>20</v>
      </c>
      <c r="D22" s="61" t="s">
        <v>2</v>
      </c>
      <c r="E22" s="62" t="s">
        <v>3</v>
      </c>
      <c r="F22" s="61" t="s">
        <v>4</v>
      </c>
      <c r="G22" s="61" t="s">
        <v>21</v>
      </c>
      <c r="H22" s="61" t="s">
        <v>22</v>
      </c>
      <c r="I22" s="63" t="s">
        <v>5</v>
      </c>
      <c r="J22" s="61" t="s">
        <v>6</v>
      </c>
      <c r="K22" s="61" t="s">
        <v>7</v>
      </c>
      <c r="L22" s="61" t="s">
        <v>8</v>
      </c>
      <c r="M22" s="61" t="s">
        <v>9</v>
      </c>
      <c r="N22" s="64" t="s">
        <v>23</v>
      </c>
      <c r="O22" s="61" t="s">
        <v>36</v>
      </c>
      <c r="P22" s="61" t="s">
        <v>11</v>
      </c>
      <c r="Q22" s="61" t="s">
        <v>12</v>
      </c>
      <c r="R22" s="61" t="s">
        <v>13</v>
      </c>
      <c r="S22" s="61" t="s">
        <v>15</v>
      </c>
      <c r="T22" s="65" t="s">
        <v>24</v>
      </c>
      <c r="U22" s="61" t="s">
        <v>25</v>
      </c>
      <c r="V22" s="61" t="s">
        <v>18</v>
      </c>
      <c r="W22" s="66" t="s">
        <v>26</v>
      </c>
    </row>
    <row r="23" spans="1:23" x14ac:dyDescent="0.25">
      <c r="A23" s="359"/>
      <c r="B23" s="92" t="s">
        <v>27</v>
      </c>
      <c r="C23" s="54">
        <v>200</v>
      </c>
      <c r="D23" s="25">
        <v>1</v>
      </c>
      <c r="E23" s="26">
        <f>C23/D23</f>
        <v>200</v>
      </c>
      <c r="F23" s="27">
        <v>100</v>
      </c>
      <c r="G23" s="28">
        <v>23</v>
      </c>
      <c r="H23" s="28">
        <f>(E23+F23)*G23</f>
        <v>6900</v>
      </c>
      <c r="I23" s="174">
        <f>H23/4</f>
        <v>1725</v>
      </c>
      <c r="J23" s="71">
        <v>80</v>
      </c>
      <c r="K23" s="55">
        <f>0.64*0.9*J23/1000</f>
        <v>4.6080000000000003E-2</v>
      </c>
      <c r="L23" s="29">
        <v>1.51</v>
      </c>
      <c r="M23" s="30">
        <f>(E23+F23)*G23*L23</f>
        <v>10419</v>
      </c>
      <c r="N23" s="31">
        <f>G23*2*250</f>
        <v>11500</v>
      </c>
      <c r="O23" s="32">
        <f>M23*0.55</f>
        <v>5730.4500000000007</v>
      </c>
      <c r="P23" s="32">
        <f>M23+N23+O23</f>
        <v>27649.45</v>
      </c>
      <c r="Q23" s="286">
        <v>2.4</v>
      </c>
      <c r="R23" s="33">
        <f>P23*Q23</f>
        <v>66358.679999999993</v>
      </c>
      <c r="S23" s="74">
        <f>I23*K23*7</f>
        <v>556.41599999999994</v>
      </c>
      <c r="T23" s="288">
        <f>C25*9+C23*80</f>
        <v>17800</v>
      </c>
      <c r="U23" s="290">
        <v>0.3</v>
      </c>
      <c r="V23" s="280">
        <f>(R23+R25+R24+T23)+((R23+R25+R24+T23)*U23)+(S23+S24+S25)</f>
        <v>117242.66559999999</v>
      </c>
      <c r="W23" s="282">
        <f>V23/C25</f>
        <v>586.21332799999993</v>
      </c>
    </row>
    <row r="24" spans="1:23" x14ac:dyDescent="0.25">
      <c r="A24" s="359"/>
      <c r="B24" s="93" t="s">
        <v>28</v>
      </c>
      <c r="C24" s="56">
        <v>200</v>
      </c>
      <c r="D24" s="35">
        <v>1</v>
      </c>
      <c r="E24" s="36">
        <f>C24/D24</f>
        <v>200</v>
      </c>
      <c r="F24" s="37">
        <v>100</v>
      </c>
      <c r="G24" s="37">
        <v>1</v>
      </c>
      <c r="H24" s="37">
        <f>(E24+F24)*G24</f>
        <v>300</v>
      </c>
      <c r="I24" s="11">
        <f>H24/4</f>
        <v>75</v>
      </c>
      <c r="J24" s="72">
        <v>120</v>
      </c>
      <c r="K24" s="13">
        <f>0.64*0.9*J24/1000</f>
        <v>6.9120000000000001E-2</v>
      </c>
      <c r="L24" s="38">
        <v>2.1</v>
      </c>
      <c r="M24" s="39">
        <f>(E24+F24)*G24*L24</f>
        <v>630</v>
      </c>
      <c r="N24" s="40">
        <f>0*250*G24</f>
        <v>0</v>
      </c>
      <c r="O24" s="41">
        <f>M24*0</f>
        <v>0</v>
      </c>
      <c r="P24" s="41">
        <f>M24+N24+O24</f>
        <v>630</v>
      </c>
      <c r="Q24" s="352"/>
      <c r="R24" s="42">
        <f>P24*Q23</f>
        <v>1512</v>
      </c>
      <c r="S24" s="75">
        <f>I24*K24*7</f>
        <v>36.288000000000004</v>
      </c>
      <c r="T24" s="319"/>
      <c r="U24" s="320"/>
      <c r="V24" s="321"/>
      <c r="W24" s="322"/>
    </row>
    <row r="25" spans="1:23" ht="15.75" thickBot="1" x14ac:dyDescent="0.3">
      <c r="A25" s="360"/>
      <c r="B25" s="94" t="s">
        <v>29</v>
      </c>
      <c r="C25" s="57">
        <v>200</v>
      </c>
      <c r="D25" s="43">
        <v>1</v>
      </c>
      <c r="E25" s="36">
        <f>C25/D25</f>
        <v>200</v>
      </c>
      <c r="F25" s="45">
        <v>10</v>
      </c>
      <c r="G25" s="45">
        <v>1</v>
      </c>
      <c r="H25" s="45">
        <f>(E25+F25)*G25</f>
        <v>210</v>
      </c>
      <c r="I25" s="53">
        <f>H25/4</f>
        <v>52.5</v>
      </c>
      <c r="J25" s="73">
        <v>120</v>
      </c>
      <c r="K25" s="58">
        <f>0.64*0.9*J25/1000</f>
        <v>6.9120000000000001E-2</v>
      </c>
      <c r="L25" s="46">
        <v>2.1</v>
      </c>
      <c r="M25" s="47">
        <f>(E25+F25)*L25</f>
        <v>441</v>
      </c>
      <c r="N25" s="40">
        <f>4*250*G25</f>
        <v>1000</v>
      </c>
      <c r="O25" s="49">
        <f>M25*0.55</f>
        <v>242.55</v>
      </c>
      <c r="P25" s="49">
        <f>M25+N25+O25</f>
        <v>1683.55</v>
      </c>
      <c r="Q25" s="287"/>
      <c r="R25" s="50">
        <f>P25*Q23</f>
        <v>4040.5199999999995</v>
      </c>
      <c r="S25" s="76">
        <f>I25*K25*7</f>
        <v>25.401600000000002</v>
      </c>
      <c r="T25" s="289"/>
      <c r="U25" s="291"/>
      <c r="V25" s="281"/>
      <c r="W25" s="283"/>
    </row>
    <row r="29" spans="1:23" ht="15.75" thickBot="1" x14ac:dyDescent="0.3"/>
    <row r="30" spans="1:23" ht="15.75" thickBot="1" x14ac:dyDescent="0.3">
      <c r="A30" s="351"/>
      <c r="B30" s="269" t="s">
        <v>37</v>
      </c>
      <c r="C30" s="67">
        <v>1</v>
      </c>
      <c r="D30" s="68">
        <v>2</v>
      </c>
      <c r="E30" s="68">
        <v>3</v>
      </c>
      <c r="F30" s="68">
        <v>4</v>
      </c>
      <c r="G30" s="68">
        <v>5</v>
      </c>
      <c r="H30" s="68">
        <v>6</v>
      </c>
      <c r="I30" s="68">
        <v>7</v>
      </c>
      <c r="J30" s="68">
        <v>8</v>
      </c>
      <c r="K30" s="68">
        <v>9</v>
      </c>
      <c r="L30" s="68">
        <v>10</v>
      </c>
      <c r="M30" s="68">
        <v>11</v>
      </c>
      <c r="N30" s="68">
        <v>12</v>
      </c>
      <c r="O30" s="68">
        <v>13</v>
      </c>
      <c r="P30" s="68">
        <v>14</v>
      </c>
      <c r="Q30" s="68">
        <v>15</v>
      </c>
      <c r="R30" s="68">
        <v>16</v>
      </c>
      <c r="S30" s="68">
        <v>17</v>
      </c>
      <c r="T30" s="68">
        <v>18</v>
      </c>
      <c r="U30" s="68">
        <v>19</v>
      </c>
      <c r="V30" s="68">
        <v>20</v>
      </c>
      <c r="W30" s="69">
        <v>21</v>
      </c>
    </row>
    <row r="31" spans="1:23" ht="60.75" thickBot="1" x14ac:dyDescent="0.3">
      <c r="A31" s="284"/>
      <c r="B31" s="270"/>
      <c r="C31" s="60" t="s">
        <v>20</v>
      </c>
      <c r="D31" s="61" t="s">
        <v>2</v>
      </c>
      <c r="E31" s="62" t="s">
        <v>3</v>
      </c>
      <c r="F31" s="61" t="s">
        <v>4</v>
      </c>
      <c r="G31" s="61" t="s">
        <v>21</v>
      </c>
      <c r="H31" s="61" t="s">
        <v>22</v>
      </c>
      <c r="I31" s="63" t="s">
        <v>5</v>
      </c>
      <c r="J31" s="61" t="s">
        <v>6</v>
      </c>
      <c r="K31" s="61" t="s">
        <v>7</v>
      </c>
      <c r="L31" s="61" t="s">
        <v>8</v>
      </c>
      <c r="M31" s="61" t="s">
        <v>9</v>
      </c>
      <c r="N31" s="64" t="s">
        <v>23</v>
      </c>
      <c r="O31" s="61" t="s">
        <v>36</v>
      </c>
      <c r="P31" s="61" t="s">
        <v>11</v>
      </c>
      <c r="Q31" s="61" t="s">
        <v>12</v>
      </c>
      <c r="R31" s="61" t="s">
        <v>13</v>
      </c>
      <c r="S31" s="61" t="s">
        <v>15</v>
      </c>
      <c r="T31" s="65" t="s">
        <v>24</v>
      </c>
      <c r="U31" s="61" t="s">
        <v>25</v>
      </c>
      <c r="V31" s="61" t="s">
        <v>18</v>
      </c>
      <c r="W31" s="66" t="s">
        <v>26</v>
      </c>
    </row>
    <row r="32" spans="1:23" x14ac:dyDescent="0.25">
      <c r="A32" s="284"/>
      <c r="B32" s="95" t="s">
        <v>27</v>
      </c>
      <c r="C32" s="54">
        <v>200</v>
      </c>
      <c r="D32" s="25">
        <v>1</v>
      </c>
      <c r="E32" s="26">
        <f>C32/D32</f>
        <v>200</v>
      </c>
      <c r="F32" s="27">
        <v>100</v>
      </c>
      <c r="G32" s="27">
        <v>9</v>
      </c>
      <c r="H32" s="28">
        <f>(E32+F32)*G32</f>
        <v>2700</v>
      </c>
      <c r="I32" s="52">
        <v>118</v>
      </c>
      <c r="J32" s="71">
        <v>80</v>
      </c>
      <c r="K32" s="55">
        <f>0.64*0.9*J32/1000</f>
        <v>4.6080000000000003E-2</v>
      </c>
      <c r="L32" s="29">
        <v>1.51</v>
      </c>
      <c r="M32" s="30">
        <f>(E32+F32)*G32*L32</f>
        <v>4077</v>
      </c>
      <c r="N32" s="31">
        <f>G32*2*250</f>
        <v>4500</v>
      </c>
      <c r="O32" s="32">
        <f>M32*0.45</f>
        <v>1834.65</v>
      </c>
      <c r="P32" s="32">
        <f>M32+N32+O32</f>
        <v>10411.65</v>
      </c>
      <c r="Q32" s="286">
        <v>2.5</v>
      </c>
      <c r="R32" s="33">
        <f>P32*Q32</f>
        <v>26029.125</v>
      </c>
      <c r="S32" s="74">
        <f>I32*K32*37</f>
        <v>201.18528000000001</v>
      </c>
      <c r="T32" s="288">
        <f>C32*80+H34*9</f>
        <v>18700</v>
      </c>
      <c r="U32" s="290">
        <v>0.3</v>
      </c>
      <c r="V32" s="280">
        <f>(R32+R34+R33+T32)+((R32+R34+R33+T32)*U32)+(S32+S33+S34)</f>
        <v>66881.048780000012</v>
      </c>
      <c r="W32" s="282">
        <f>V32/C34</f>
        <v>334.40524390000007</v>
      </c>
    </row>
    <row r="33" spans="1:23" x14ac:dyDescent="0.25">
      <c r="A33" s="284"/>
      <c r="B33" s="96" t="s">
        <v>28</v>
      </c>
      <c r="C33" s="56">
        <v>200</v>
      </c>
      <c r="D33" s="35">
        <v>1</v>
      </c>
      <c r="E33" s="36">
        <f>C33/D33</f>
        <v>200</v>
      </c>
      <c r="F33" s="37">
        <v>100</v>
      </c>
      <c r="G33" s="37">
        <v>1</v>
      </c>
      <c r="H33" s="37">
        <f>(E33+F33)*G33</f>
        <v>300</v>
      </c>
      <c r="I33" s="51">
        <f>H33/4</f>
        <v>75</v>
      </c>
      <c r="J33" s="72">
        <v>120</v>
      </c>
      <c r="K33" s="13">
        <f>0.64*0.9*J33/1000</f>
        <v>6.9120000000000001E-2</v>
      </c>
      <c r="L33" s="38">
        <v>1.44</v>
      </c>
      <c r="M33" s="39">
        <f>(E33+F33)*G33*L33</f>
        <v>432</v>
      </c>
      <c r="N33" s="40">
        <v>0</v>
      </c>
      <c r="O33" s="41">
        <f>M33*0.45</f>
        <v>194.4</v>
      </c>
      <c r="P33" s="41">
        <f>M33+N33+O33</f>
        <v>626.4</v>
      </c>
      <c r="Q33" s="352"/>
      <c r="R33" s="42">
        <f>P33*Q32</f>
        <v>1566</v>
      </c>
      <c r="S33" s="75">
        <f>I33*K33*7</f>
        <v>36.288000000000004</v>
      </c>
      <c r="T33" s="319"/>
      <c r="U33" s="320"/>
      <c r="V33" s="321"/>
      <c r="W33" s="322"/>
    </row>
    <row r="34" spans="1:23" ht="15.75" thickBot="1" x14ac:dyDescent="0.3">
      <c r="A34" s="285"/>
      <c r="B34" s="97" t="s">
        <v>29</v>
      </c>
      <c r="C34" s="57">
        <v>200</v>
      </c>
      <c r="D34" s="43">
        <v>1</v>
      </c>
      <c r="E34" s="44">
        <f>C34/D34</f>
        <v>200</v>
      </c>
      <c r="F34" s="45">
        <v>100</v>
      </c>
      <c r="G34" s="45">
        <v>1</v>
      </c>
      <c r="H34" s="45">
        <f>(E34+F34)*G34</f>
        <v>300</v>
      </c>
      <c r="I34" s="53">
        <f>H34/4</f>
        <v>75</v>
      </c>
      <c r="J34" s="73">
        <v>120</v>
      </c>
      <c r="K34" s="58">
        <f>0.64*0.9*J34/1000</f>
        <v>6.9120000000000001E-2</v>
      </c>
      <c r="L34" s="46">
        <v>2.1</v>
      </c>
      <c r="M34" s="47">
        <f>(E34+F34)*L34</f>
        <v>630</v>
      </c>
      <c r="N34" s="182">
        <f>250*4</f>
        <v>1000</v>
      </c>
      <c r="O34" s="49">
        <f>M34*0.55</f>
        <v>346.5</v>
      </c>
      <c r="P34" s="49">
        <f>M34+N34+O34</f>
        <v>1976.5</v>
      </c>
      <c r="Q34" s="287"/>
      <c r="R34" s="50">
        <f>P34*Q32</f>
        <v>4941.25</v>
      </c>
      <c r="S34" s="76">
        <f>I34*K34*7</f>
        <v>36.288000000000004</v>
      </c>
      <c r="T34" s="289"/>
      <c r="U34" s="291"/>
      <c r="V34" s="281"/>
      <c r="W34" s="283"/>
    </row>
    <row r="35" spans="1:23" ht="15.75" thickBot="1" x14ac:dyDescent="0.3"/>
    <row r="36" spans="1:23" x14ac:dyDescent="0.25">
      <c r="A36" s="362">
        <v>2025</v>
      </c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63"/>
      <c r="P36" s="363"/>
      <c r="Q36" s="363"/>
      <c r="R36" s="363"/>
      <c r="S36" s="363"/>
      <c r="T36" s="363"/>
      <c r="U36" s="363"/>
      <c r="V36" s="363"/>
      <c r="W36" s="364"/>
    </row>
    <row r="37" spans="1:23" x14ac:dyDescent="0.25">
      <c r="A37" s="365"/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  <c r="N37" s="366"/>
      <c r="O37" s="366"/>
      <c r="P37" s="366"/>
      <c r="Q37" s="366"/>
      <c r="R37" s="366"/>
      <c r="S37" s="366"/>
      <c r="T37" s="366"/>
      <c r="U37" s="366"/>
      <c r="V37" s="366"/>
      <c r="W37" s="367"/>
    </row>
    <row r="38" spans="1:23" x14ac:dyDescent="0.25">
      <c r="A38" s="365"/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66"/>
      <c r="N38" s="366"/>
      <c r="O38" s="366"/>
      <c r="P38" s="366"/>
      <c r="Q38" s="366"/>
      <c r="R38" s="366"/>
      <c r="S38" s="366"/>
      <c r="T38" s="366"/>
      <c r="U38" s="366"/>
      <c r="V38" s="366"/>
      <c r="W38" s="367"/>
    </row>
    <row r="39" spans="1:23" ht="15.75" thickBot="1" x14ac:dyDescent="0.3">
      <c r="A39" s="368"/>
      <c r="B39" s="369"/>
      <c r="C39" s="369"/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70"/>
    </row>
    <row r="41" spans="1:23" ht="15.75" thickBot="1" x14ac:dyDescent="0.3"/>
    <row r="42" spans="1:23" ht="15.75" thickBot="1" x14ac:dyDescent="0.3">
      <c r="A42" s="351"/>
      <c r="B42" s="269" t="s">
        <v>37</v>
      </c>
      <c r="C42" s="67">
        <v>1</v>
      </c>
      <c r="D42" s="68">
        <v>2</v>
      </c>
      <c r="E42" s="68">
        <v>3</v>
      </c>
      <c r="F42" s="68">
        <v>4</v>
      </c>
      <c r="G42" s="68">
        <v>5</v>
      </c>
      <c r="H42" s="68">
        <v>6</v>
      </c>
      <c r="I42" s="68">
        <v>7</v>
      </c>
      <c r="J42" s="68">
        <v>8</v>
      </c>
      <c r="K42" s="68">
        <v>9</v>
      </c>
      <c r="L42" s="68">
        <v>10</v>
      </c>
      <c r="M42" s="68">
        <v>11</v>
      </c>
      <c r="N42" s="68">
        <v>12</v>
      </c>
      <c r="O42" s="68">
        <v>13</v>
      </c>
      <c r="P42" s="68">
        <v>14</v>
      </c>
      <c r="Q42" s="68">
        <v>15</v>
      </c>
      <c r="R42" s="68">
        <v>16</v>
      </c>
      <c r="S42" s="68">
        <v>17</v>
      </c>
      <c r="T42" s="68">
        <v>18</v>
      </c>
      <c r="U42" s="68">
        <v>19</v>
      </c>
      <c r="V42" s="68">
        <v>20</v>
      </c>
      <c r="W42" s="69">
        <v>21</v>
      </c>
    </row>
    <row r="43" spans="1:23" ht="60.75" thickBot="1" x14ac:dyDescent="0.3">
      <c r="A43" s="284"/>
      <c r="B43" s="270"/>
      <c r="C43" s="60" t="s">
        <v>20</v>
      </c>
      <c r="D43" s="61" t="s">
        <v>2</v>
      </c>
      <c r="E43" s="62" t="s">
        <v>3</v>
      </c>
      <c r="F43" s="61" t="s">
        <v>4</v>
      </c>
      <c r="G43" s="61" t="s">
        <v>21</v>
      </c>
      <c r="H43" s="61" t="s">
        <v>22</v>
      </c>
      <c r="I43" s="63" t="s">
        <v>5</v>
      </c>
      <c r="J43" s="61" t="s">
        <v>6</v>
      </c>
      <c r="K43" s="61" t="s">
        <v>7</v>
      </c>
      <c r="L43" s="61" t="s">
        <v>8</v>
      </c>
      <c r="M43" s="61" t="s">
        <v>9</v>
      </c>
      <c r="N43" s="64" t="s">
        <v>23</v>
      </c>
      <c r="O43" s="61" t="s">
        <v>36</v>
      </c>
      <c r="P43" s="61" t="s">
        <v>11</v>
      </c>
      <c r="Q43" s="61" t="s">
        <v>12</v>
      </c>
      <c r="R43" s="61" t="s">
        <v>13</v>
      </c>
      <c r="S43" s="61" t="s">
        <v>15</v>
      </c>
      <c r="T43" s="65" t="s">
        <v>24</v>
      </c>
      <c r="U43" s="61" t="s">
        <v>25</v>
      </c>
      <c r="V43" s="61" t="s">
        <v>18</v>
      </c>
      <c r="W43" s="66" t="s">
        <v>26</v>
      </c>
    </row>
    <row r="44" spans="1:23" x14ac:dyDescent="0.25">
      <c r="A44" s="284"/>
      <c r="B44" s="95" t="s">
        <v>27</v>
      </c>
      <c r="C44" s="54">
        <v>250</v>
      </c>
      <c r="D44" s="25">
        <v>1</v>
      </c>
      <c r="E44" s="26">
        <f>C44/D44</f>
        <v>250</v>
      </c>
      <c r="F44" s="27">
        <v>100</v>
      </c>
      <c r="G44" s="27">
        <v>38</v>
      </c>
      <c r="H44" s="28">
        <f>(E44+F44)*G44</f>
        <v>13300</v>
      </c>
      <c r="I44" s="52">
        <v>118</v>
      </c>
      <c r="J44" s="71">
        <v>80</v>
      </c>
      <c r="K44" s="55">
        <f>0.64*0.9*J44/1000</f>
        <v>4.6080000000000003E-2</v>
      </c>
      <c r="L44" s="29">
        <v>1.51</v>
      </c>
      <c r="M44" s="30">
        <f>(E44+F44)*G44*L44</f>
        <v>20083</v>
      </c>
      <c r="N44" s="31">
        <f>G44*2*300</f>
        <v>22800</v>
      </c>
      <c r="O44" s="32">
        <f>M44*0.45</f>
        <v>9037.35</v>
      </c>
      <c r="P44" s="32">
        <f>M44+N44+O44</f>
        <v>51920.35</v>
      </c>
      <c r="Q44" s="286">
        <v>2.2999999999999998</v>
      </c>
      <c r="R44" s="33">
        <f>P44*Q44</f>
        <v>119416.80499999999</v>
      </c>
      <c r="S44" s="74">
        <f>I44*K44*37</f>
        <v>201.18528000000001</v>
      </c>
      <c r="T44" s="288">
        <f>C46*100+C46*9</f>
        <v>27250</v>
      </c>
      <c r="U44" s="290">
        <v>0.3</v>
      </c>
      <c r="V44" s="280">
        <f>(R44+R46+R45+T44)+((R44+R46+R45+T44)*U44)+(S44+S45+S46)</f>
        <v>201137.18177999998</v>
      </c>
      <c r="W44" s="282">
        <f>V44/C46</f>
        <v>804.54872711999997</v>
      </c>
    </row>
    <row r="45" spans="1:23" x14ac:dyDescent="0.25">
      <c r="A45" s="284"/>
      <c r="B45" s="96" t="s">
        <v>28</v>
      </c>
      <c r="C45" s="56">
        <v>250</v>
      </c>
      <c r="D45" s="35">
        <v>1</v>
      </c>
      <c r="E45" s="36">
        <f>C45/D45</f>
        <v>250</v>
      </c>
      <c r="F45" s="37">
        <v>100</v>
      </c>
      <c r="G45" s="37">
        <v>1</v>
      </c>
      <c r="H45" s="37">
        <f>(E45+F45)*G45</f>
        <v>350</v>
      </c>
      <c r="I45" s="51">
        <f>H45/4</f>
        <v>87.5</v>
      </c>
      <c r="J45" s="72">
        <v>120</v>
      </c>
      <c r="K45" s="13">
        <f>0.64*0.9*J45/1000</f>
        <v>6.9120000000000001E-2</v>
      </c>
      <c r="L45" s="38">
        <v>2.1</v>
      </c>
      <c r="M45" s="39">
        <f>(E45+F45)*G45*L45</f>
        <v>735</v>
      </c>
      <c r="N45" s="40">
        <v>0</v>
      </c>
      <c r="O45" s="41">
        <f>M45*0.45</f>
        <v>330.75</v>
      </c>
      <c r="P45" s="41">
        <f>M45+N45+O45</f>
        <v>1065.75</v>
      </c>
      <c r="Q45" s="352"/>
      <c r="R45" s="42">
        <f>P45*Q44</f>
        <v>2451.2249999999999</v>
      </c>
      <c r="S45" s="75">
        <f>I45*K45*7</f>
        <v>42.335999999999999</v>
      </c>
      <c r="T45" s="319"/>
      <c r="U45" s="320"/>
      <c r="V45" s="321"/>
      <c r="W45" s="322"/>
    </row>
    <row r="46" spans="1:23" ht="15.75" thickBot="1" x14ac:dyDescent="0.3">
      <c r="A46" s="285"/>
      <c r="B46" s="97" t="s">
        <v>29</v>
      </c>
      <c r="C46" s="57">
        <v>250</v>
      </c>
      <c r="D46" s="43">
        <v>1</v>
      </c>
      <c r="E46" s="44">
        <f>C46/D46</f>
        <v>250</v>
      </c>
      <c r="F46" s="45">
        <v>100</v>
      </c>
      <c r="G46" s="45">
        <v>1</v>
      </c>
      <c r="H46" s="45">
        <f>(E46+F46)*G46</f>
        <v>350</v>
      </c>
      <c r="I46" s="53">
        <f>H46/4</f>
        <v>87.5</v>
      </c>
      <c r="J46" s="73">
        <v>130</v>
      </c>
      <c r="K46" s="58">
        <f>0.64*0.9*J46/1000</f>
        <v>7.4880000000000016E-2</v>
      </c>
      <c r="L46" s="46">
        <v>2.1</v>
      </c>
      <c r="M46" s="47">
        <f>(E46+F46)*L46</f>
        <v>735</v>
      </c>
      <c r="N46" s="182">
        <f>300*4</f>
        <v>1200</v>
      </c>
      <c r="O46" s="49">
        <f>M46*0.55</f>
        <v>404.25000000000006</v>
      </c>
      <c r="P46" s="49">
        <f>M46+N46+O46</f>
        <v>2339.25</v>
      </c>
      <c r="Q46" s="287"/>
      <c r="R46" s="50">
        <f>P46*Q44</f>
        <v>5380.2749999999996</v>
      </c>
      <c r="S46" s="76">
        <f>I46*K46*7</f>
        <v>45.864000000000011</v>
      </c>
      <c r="T46" s="289"/>
      <c r="U46" s="291"/>
      <c r="V46" s="281"/>
      <c r="W46" s="283"/>
    </row>
    <row r="47" spans="1:23" ht="15.75" thickBot="1" x14ac:dyDescent="0.3">
      <c r="A47" s="351"/>
      <c r="B47" s="269" t="s">
        <v>37</v>
      </c>
      <c r="C47" s="67">
        <v>1</v>
      </c>
      <c r="D47" s="68">
        <v>2</v>
      </c>
      <c r="E47" s="68">
        <v>3</v>
      </c>
      <c r="F47" s="68">
        <v>4</v>
      </c>
      <c r="G47" s="68">
        <v>5</v>
      </c>
      <c r="H47" s="68">
        <v>6</v>
      </c>
      <c r="I47" s="68">
        <v>7</v>
      </c>
      <c r="J47" s="68">
        <v>8</v>
      </c>
      <c r="K47" s="68">
        <v>9</v>
      </c>
      <c r="L47" s="68">
        <v>10</v>
      </c>
      <c r="M47" s="68">
        <v>11</v>
      </c>
      <c r="N47" s="68">
        <v>12</v>
      </c>
      <c r="O47" s="68">
        <v>13</v>
      </c>
      <c r="P47" s="68">
        <v>14</v>
      </c>
      <c r="Q47" s="68">
        <v>15</v>
      </c>
      <c r="R47" s="68">
        <v>16</v>
      </c>
      <c r="S47" s="68">
        <v>17</v>
      </c>
      <c r="T47" s="68">
        <v>18</v>
      </c>
      <c r="U47" s="68">
        <v>19</v>
      </c>
      <c r="V47" s="68">
        <v>20</v>
      </c>
      <c r="W47" s="69">
        <v>21</v>
      </c>
    </row>
    <row r="48" spans="1:23" ht="60.75" thickBot="1" x14ac:dyDescent="0.3">
      <c r="A48" s="284"/>
      <c r="B48" s="270"/>
      <c r="C48" s="60" t="s">
        <v>20</v>
      </c>
      <c r="D48" s="61" t="s">
        <v>2</v>
      </c>
      <c r="E48" s="62" t="s">
        <v>3</v>
      </c>
      <c r="F48" s="61" t="s">
        <v>4</v>
      </c>
      <c r="G48" s="61" t="s">
        <v>21</v>
      </c>
      <c r="H48" s="61" t="s">
        <v>22</v>
      </c>
      <c r="I48" s="63" t="s">
        <v>5</v>
      </c>
      <c r="J48" s="61" t="s">
        <v>6</v>
      </c>
      <c r="K48" s="61" t="s">
        <v>7</v>
      </c>
      <c r="L48" s="61" t="s">
        <v>8</v>
      </c>
      <c r="M48" s="61" t="s">
        <v>9</v>
      </c>
      <c r="N48" s="64" t="s">
        <v>23</v>
      </c>
      <c r="O48" s="61" t="s">
        <v>36</v>
      </c>
      <c r="P48" s="61" t="s">
        <v>11</v>
      </c>
      <c r="Q48" s="61" t="s">
        <v>12</v>
      </c>
      <c r="R48" s="61" t="s">
        <v>13</v>
      </c>
      <c r="S48" s="61" t="s">
        <v>15</v>
      </c>
      <c r="T48" s="65" t="s">
        <v>24</v>
      </c>
      <c r="U48" s="61" t="s">
        <v>25</v>
      </c>
      <c r="V48" s="61" t="s">
        <v>18</v>
      </c>
      <c r="W48" s="66" t="s">
        <v>26</v>
      </c>
    </row>
    <row r="49" spans="1:23" x14ac:dyDescent="0.25">
      <c r="A49" s="284"/>
      <c r="B49" s="95" t="s">
        <v>27</v>
      </c>
      <c r="C49" s="54">
        <v>1000</v>
      </c>
      <c r="D49" s="25">
        <v>1</v>
      </c>
      <c r="E49" s="26">
        <f>C49/D49</f>
        <v>1000</v>
      </c>
      <c r="F49" s="27">
        <v>100</v>
      </c>
      <c r="G49" s="27">
        <v>54</v>
      </c>
      <c r="H49" s="28">
        <f>(E49+F49)*G49</f>
        <v>59400</v>
      </c>
      <c r="I49" s="52">
        <v>118</v>
      </c>
      <c r="J49" s="71">
        <v>80</v>
      </c>
      <c r="K49" s="55">
        <f>0.64*0.9*J49/1000</f>
        <v>4.6080000000000003E-2</v>
      </c>
      <c r="L49" s="29">
        <v>1.51</v>
      </c>
      <c r="M49" s="30">
        <f>(E49+F49)*G49*L49</f>
        <v>89694</v>
      </c>
      <c r="N49" s="31">
        <f>G49*8*300</f>
        <v>129600</v>
      </c>
      <c r="O49" s="32">
        <f>M49*0.55</f>
        <v>49331.700000000004</v>
      </c>
      <c r="P49" s="32">
        <f>M49+N49+O49</f>
        <v>268625.7</v>
      </c>
      <c r="Q49" s="286">
        <v>2</v>
      </c>
      <c r="R49" s="33">
        <f>P49*Q49</f>
        <v>537251.4</v>
      </c>
      <c r="S49" s="74">
        <f>I49*K49*9</f>
        <v>48.936960000000006</v>
      </c>
      <c r="T49" s="288">
        <f>C51*100+E51*9</f>
        <v>109000</v>
      </c>
      <c r="U49" s="290">
        <v>0.3</v>
      </c>
      <c r="V49" s="280">
        <f>(R49+R51+R50+T49)+((R49+R51+R50+T49)*U49)+(S49+S50+S51)</f>
        <v>861670.15696000005</v>
      </c>
      <c r="W49" s="282">
        <f>V49/C51</f>
        <v>861.6701569600001</v>
      </c>
    </row>
    <row r="50" spans="1:23" x14ac:dyDescent="0.25">
      <c r="A50" s="284"/>
      <c r="B50" s="96" t="s">
        <v>28</v>
      </c>
      <c r="C50" s="56">
        <v>1000</v>
      </c>
      <c r="D50" s="35">
        <v>1</v>
      </c>
      <c r="E50" s="36">
        <f>C50/D50</f>
        <v>1000</v>
      </c>
      <c r="F50" s="37">
        <v>100</v>
      </c>
      <c r="G50" s="37">
        <v>1</v>
      </c>
      <c r="H50" s="37">
        <f>(E50+F50)*G50</f>
        <v>1100</v>
      </c>
      <c r="I50" s="51">
        <f>H50/4</f>
        <v>275</v>
      </c>
      <c r="J50" s="72">
        <v>120</v>
      </c>
      <c r="K50" s="13">
        <f>0.64*0.9*J50/1000</f>
        <v>6.9120000000000001E-2</v>
      </c>
      <c r="L50" s="38">
        <v>2.1</v>
      </c>
      <c r="M50" s="39">
        <f>(E50+F50)*G50*L50</f>
        <v>2310</v>
      </c>
      <c r="N50" s="40">
        <v>0</v>
      </c>
      <c r="O50" s="41">
        <f>M50*0.45</f>
        <v>1039.5</v>
      </c>
      <c r="P50" s="41">
        <f>M50+N50+O50</f>
        <v>3349.5</v>
      </c>
      <c r="Q50" s="352"/>
      <c r="R50" s="42">
        <f>P50*Q49</f>
        <v>6699</v>
      </c>
      <c r="S50" s="75">
        <f>I50*K50*9</f>
        <v>171.072</v>
      </c>
      <c r="T50" s="319"/>
      <c r="U50" s="320"/>
      <c r="V50" s="321"/>
      <c r="W50" s="322"/>
    </row>
    <row r="51" spans="1:23" ht="15.75" thickBot="1" x14ac:dyDescent="0.3">
      <c r="A51" s="285"/>
      <c r="B51" s="97" t="s">
        <v>29</v>
      </c>
      <c r="C51" s="57">
        <v>1000</v>
      </c>
      <c r="D51" s="43">
        <v>1</v>
      </c>
      <c r="E51" s="44">
        <f>C51/D51</f>
        <v>1000</v>
      </c>
      <c r="F51" s="45">
        <v>100</v>
      </c>
      <c r="G51" s="45">
        <v>1</v>
      </c>
      <c r="H51" s="45">
        <f>(E51+F51)*G51</f>
        <v>1100</v>
      </c>
      <c r="I51" s="53">
        <f>H51/4</f>
        <v>275</v>
      </c>
      <c r="J51" s="73">
        <v>130</v>
      </c>
      <c r="K51" s="58">
        <f>0.64*0.9*J51/1000</f>
        <v>7.4880000000000016E-2</v>
      </c>
      <c r="L51" s="46">
        <v>2.1</v>
      </c>
      <c r="M51" s="47">
        <f>(E51+F51)*L51</f>
        <v>2310</v>
      </c>
      <c r="N51" s="182">
        <f>G51*300*4</f>
        <v>1200</v>
      </c>
      <c r="O51" s="49">
        <f>M51*0.55</f>
        <v>1270.5</v>
      </c>
      <c r="P51" s="49">
        <f>M51+N51+O51</f>
        <v>4780.5</v>
      </c>
      <c r="Q51" s="287"/>
      <c r="R51" s="50">
        <f>P51*Q49</f>
        <v>9561</v>
      </c>
      <c r="S51" s="76">
        <f>I51*K51*9</f>
        <v>185.32800000000006</v>
      </c>
      <c r="T51" s="289"/>
      <c r="U51" s="291"/>
      <c r="V51" s="281"/>
      <c r="W51" s="283"/>
    </row>
    <row r="52" spans="1:23" ht="15.75" thickBot="1" x14ac:dyDescent="0.3">
      <c r="A52" s="371" t="s">
        <v>144</v>
      </c>
      <c r="B52" s="269" t="s">
        <v>37</v>
      </c>
      <c r="C52" s="67">
        <v>1</v>
      </c>
      <c r="D52" s="68">
        <v>2</v>
      </c>
      <c r="E52" s="68">
        <v>3</v>
      </c>
      <c r="F52" s="68">
        <v>4</v>
      </c>
      <c r="G52" s="68">
        <v>5</v>
      </c>
      <c r="H52" s="68">
        <v>6</v>
      </c>
      <c r="I52" s="68">
        <v>7</v>
      </c>
      <c r="J52" s="68">
        <v>8</v>
      </c>
      <c r="K52" s="68">
        <v>9</v>
      </c>
      <c r="L52" s="68">
        <v>10</v>
      </c>
      <c r="M52" s="68">
        <v>11</v>
      </c>
      <c r="N52" s="68">
        <v>12</v>
      </c>
      <c r="O52" s="68">
        <v>13</v>
      </c>
      <c r="P52" s="68">
        <v>14</v>
      </c>
      <c r="Q52" s="68">
        <v>15</v>
      </c>
      <c r="R52" s="68">
        <v>16</v>
      </c>
      <c r="S52" s="68">
        <v>17</v>
      </c>
      <c r="T52" s="68">
        <v>18</v>
      </c>
      <c r="U52" s="68">
        <v>19</v>
      </c>
      <c r="V52" s="68">
        <v>20</v>
      </c>
      <c r="W52" s="69">
        <v>21</v>
      </c>
    </row>
    <row r="53" spans="1:23" ht="60.75" thickBot="1" x14ac:dyDescent="0.3">
      <c r="A53" s="284"/>
      <c r="B53" s="270"/>
      <c r="C53" s="60" t="s">
        <v>20</v>
      </c>
      <c r="D53" s="61" t="s">
        <v>2</v>
      </c>
      <c r="E53" s="62" t="s">
        <v>3</v>
      </c>
      <c r="F53" s="61" t="s">
        <v>4</v>
      </c>
      <c r="G53" s="61" t="s">
        <v>21</v>
      </c>
      <c r="H53" s="61" t="s">
        <v>22</v>
      </c>
      <c r="I53" s="63" t="s">
        <v>5</v>
      </c>
      <c r="J53" s="61" t="s">
        <v>6</v>
      </c>
      <c r="K53" s="61" t="s">
        <v>7</v>
      </c>
      <c r="L53" s="61" t="s">
        <v>8</v>
      </c>
      <c r="M53" s="61" t="s">
        <v>9</v>
      </c>
      <c r="N53" s="64" t="s">
        <v>23</v>
      </c>
      <c r="O53" s="61" t="s">
        <v>36</v>
      </c>
      <c r="P53" s="61" t="s">
        <v>11</v>
      </c>
      <c r="Q53" s="61" t="s">
        <v>12</v>
      </c>
      <c r="R53" s="61" t="s">
        <v>13</v>
      </c>
      <c r="S53" s="61" t="s">
        <v>15</v>
      </c>
      <c r="T53" s="65" t="s">
        <v>24</v>
      </c>
      <c r="U53" s="61" t="s">
        <v>25</v>
      </c>
      <c r="V53" s="61" t="s">
        <v>18</v>
      </c>
      <c r="W53" s="66" t="s">
        <v>26</v>
      </c>
    </row>
    <row r="54" spans="1:23" x14ac:dyDescent="0.25">
      <c r="A54" s="284"/>
      <c r="B54" s="95" t="s">
        <v>27</v>
      </c>
      <c r="C54" s="54">
        <v>200</v>
      </c>
      <c r="D54" s="25">
        <v>1</v>
      </c>
      <c r="E54" s="26">
        <f>C54/D54</f>
        <v>200</v>
      </c>
      <c r="F54" s="27">
        <v>100</v>
      </c>
      <c r="G54" s="27">
        <v>73</v>
      </c>
      <c r="H54" s="28">
        <f>(E54+F54)*G54</f>
        <v>21900</v>
      </c>
      <c r="I54" s="52">
        <v>118</v>
      </c>
      <c r="J54" s="71">
        <v>80</v>
      </c>
      <c r="K54" s="55">
        <f>0.64*0.9*J54/1000</f>
        <v>4.6080000000000003E-2</v>
      </c>
      <c r="L54" s="29">
        <v>1.51</v>
      </c>
      <c r="M54" s="30">
        <f>(E54+F54)*G54*L54</f>
        <v>33069</v>
      </c>
      <c r="N54" s="31">
        <f>G54*8*300</f>
        <v>175200</v>
      </c>
      <c r="O54" s="32">
        <f>M54*0.55</f>
        <v>18187.95</v>
      </c>
      <c r="P54" s="32">
        <f>M54+N54+O54</f>
        <v>226456.95</v>
      </c>
      <c r="Q54" s="286">
        <v>2</v>
      </c>
      <c r="R54" s="33">
        <f>P54*Q54</f>
        <v>452913.9</v>
      </c>
      <c r="S54" s="74">
        <f>I54*K54*9</f>
        <v>48.936960000000006</v>
      </c>
      <c r="T54" s="288">
        <f>C56*150+E56*9</f>
        <v>31800</v>
      </c>
      <c r="U54" s="290">
        <v>0.3</v>
      </c>
      <c r="V54" s="280">
        <f>(R54+R56+R55+T54)+((R54+R56+R55+T54)*U54)+(S54+S55+S56)</f>
        <v>639922.71095999994</v>
      </c>
      <c r="W54" s="282">
        <f>V54/C56</f>
        <v>3199.6135547999997</v>
      </c>
    </row>
    <row r="55" spans="1:23" x14ac:dyDescent="0.25">
      <c r="A55" s="284"/>
      <c r="B55" s="96" t="s">
        <v>28</v>
      </c>
      <c r="C55" s="56">
        <v>400</v>
      </c>
      <c r="D55" s="35">
        <v>1</v>
      </c>
      <c r="E55" s="36">
        <f>C55/D55</f>
        <v>400</v>
      </c>
      <c r="F55" s="37">
        <v>100</v>
      </c>
      <c r="G55" s="37">
        <v>1</v>
      </c>
      <c r="H55" s="37">
        <f>(E55+F55)*G55</f>
        <v>500</v>
      </c>
      <c r="I55" s="51">
        <f>H55/4</f>
        <v>125</v>
      </c>
      <c r="J55" s="72">
        <v>120</v>
      </c>
      <c r="K55" s="13">
        <f>0.64*0.9*J55/1000</f>
        <v>6.9120000000000001E-2</v>
      </c>
      <c r="L55" s="38">
        <v>2.1</v>
      </c>
      <c r="M55" s="39">
        <f>(E55+F55)*G55*L55</f>
        <v>1050</v>
      </c>
      <c r="N55" s="40">
        <v>0</v>
      </c>
      <c r="O55" s="41">
        <f>M55*0.45</f>
        <v>472.5</v>
      </c>
      <c r="P55" s="41">
        <f>M55+N55+O55</f>
        <v>1522.5</v>
      </c>
      <c r="Q55" s="352"/>
      <c r="R55" s="42">
        <f>P55*Q54</f>
        <v>3045</v>
      </c>
      <c r="S55" s="75">
        <f>I55*K55*9</f>
        <v>77.760000000000005</v>
      </c>
      <c r="T55" s="319"/>
      <c r="U55" s="320"/>
      <c r="V55" s="321"/>
      <c r="W55" s="322"/>
    </row>
    <row r="56" spans="1:23" ht="15.75" thickBot="1" x14ac:dyDescent="0.3">
      <c r="A56" s="285"/>
      <c r="B56" s="97" t="s">
        <v>29</v>
      </c>
      <c r="C56" s="57">
        <v>200</v>
      </c>
      <c r="D56" s="43">
        <v>1</v>
      </c>
      <c r="E56" s="44">
        <f>C56/D56</f>
        <v>200</v>
      </c>
      <c r="F56" s="45">
        <v>100</v>
      </c>
      <c r="G56" s="45">
        <v>1</v>
      </c>
      <c r="H56" s="45">
        <f>(E56+F56)*G56</f>
        <v>300</v>
      </c>
      <c r="I56" s="53">
        <f>H56/4</f>
        <v>75</v>
      </c>
      <c r="J56" s="73">
        <v>130</v>
      </c>
      <c r="K56" s="58">
        <f>0.64*0.9*J56/1000</f>
        <v>7.4880000000000016E-2</v>
      </c>
      <c r="L56" s="46">
        <v>2.1</v>
      </c>
      <c r="M56" s="47">
        <f>(E56+F56)*L56</f>
        <v>630</v>
      </c>
      <c r="N56" s="182">
        <f>G56*300*4</f>
        <v>1200</v>
      </c>
      <c r="O56" s="49">
        <f>M56*0.55</f>
        <v>346.5</v>
      </c>
      <c r="P56" s="49">
        <f>M56+N56+O56</f>
        <v>2176.5</v>
      </c>
      <c r="Q56" s="287"/>
      <c r="R56" s="50">
        <f>P56*Q54</f>
        <v>4353</v>
      </c>
      <c r="S56" s="76">
        <f>I56*K56*9</f>
        <v>50.544000000000011</v>
      </c>
      <c r="T56" s="289"/>
      <c r="U56" s="291"/>
      <c r="V56" s="281"/>
      <c r="W56" s="283"/>
    </row>
    <row r="57" spans="1:23" ht="15.75" customHeight="1" thickBot="1" x14ac:dyDescent="0.3">
      <c r="A57" s="371" t="s">
        <v>144</v>
      </c>
      <c r="B57" s="269" t="s">
        <v>37</v>
      </c>
      <c r="C57" s="67">
        <v>1</v>
      </c>
      <c r="D57" s="68">
        <v>2</v>
      </c>
      <c r="E57" s="68">
        <v>3</v>
      </c>
      <c r="F57" s="68">
        <v>4</v>
      </c>
      <c r="G57" s="68">
        <v>5</v>
      </c>
      <c r="H57" s="68">
        <v>6</v>
      </c>
      <c r="I57" s="68">
        <v>7</v>
      </c>
      <c r="J57" s="68">
        <v>8</v>
      </c>
      <c r="K57" s="68">
        <v>9</v>
      </c>
      <c r="L57" s="68">
        <v>10</v>
      </c>
      <c r="M57" s="68">
        <v>11</v>
      </c>
      <c r="N57" s="68">
        <v>12</v>
      </c>
      <c r="O57" s="68">
        <v>13</v>
      </c>
      <c r="P57" s="68">
        <v>14</v>
      </c>
      <c r="Q57" s="68">
        <v>15</v>
      </c>
      <c r="R57" s="68">
        <v>16</v>
      </c>
      <c r="S57" s="68">
        <v>17</v>
      </c>
      <c r="T57" s="68">
        <v>18</v>
      </c>
      <c r="U57" s="68">
        <v>19</v>
      </c>
      <c r="V57" s="68">
        <v>20</v>
      </c>
      <c r="W57" s="69">
        <v>21</v>
      </c>
    </row>
    <row r="58" spans="1:23" ht="60.75" thickBot="1" x14ac:dyDescent="0.3">
      <c r="A58" s="372"/>
      <c r="B58" s="270"/>
      <c r="C58" s="60" t="s">
        <v>20</v>
      </c>
      <c r="D58" s="61" t="s">
        <v>2</v>
      </c>
      <c r="E58" s="62" t="s">
        <v>3</v>
      </c>
      <c r="F58" s="61" t="s">
        <v>4</v>
      </c>
      <c r="G58" s="61" t="s">
        <v>21</v>
      </c>
      <c r="H58" s="61" t="s">
        <v>22</v>
      </c>
      <c r="I58" s="63" t="s">
        <v>5</v>
      </c>
      <c r="J58" s="61" t="s">
        <v>6</v>
      </c>
      <c r="K58" s="61" t="s">
        <v>7</v>
      </c>
      <c r="L58" s="61" t="s">
        <v>8</v>
      </c>
      <c r="M58" s="61" t="s">
        <v>9</v>
      </c>
      <c r="N58" s="64" t="s">
        <v>23</v>
      </c>
      <c r="O58" s="61" t="s">
        <v>36</v>
      </c>
      <c r="P58" s="61" t="s">
        <v>11</v>
      </c>
      <c r="Q58" s="61" t="s">
        <v>12</v>
      </c>
      <c r="R58" s="61" t="s">
        <v>13</v>
      </c>
      <c r="S58" s="61" t="s">
        <v>15</v>
      </c>
      <c r="T58" s="65" t="s">
        <v>24</v>
      </c>
      <c r="U58" s="61" t="s">
        <v>25</v>
      </c>
      <c r="V58" s="61" t="s">
        <v>18</v>
      </c>
      <c r="W58" s="66" t="s">
        <v>26</v>
      </c>
    </row>
    <row r="59" spans="1:23" x14ac:dyDescent="0.25">
      <c r="A59" s="372"/>
      <c r="B59" s="95" t="s">
        <v>27</v>
      </c>
      <c r="C59" s="54">
        <v>400</v>
      </c>
      <c r="D59" s="25">
        <v>1</v>
      </c>
      <c r="E59" s="26">
        <f>C59/D59</f>
        <v>400</v>
      </c>
      <c r="F59" s="27">
        <v>100</v>
      </c>
      <c r="G59" s="27">
        <v>73</v>
      </c>
      <c r="H59" s="28">
        <f>(E59+F59)*G59</f>
        <v>36500</v>
      </c>
      <c r="I59" s="52">
        <v>118</v>
      </c>
      <c r="J59" s="71">
        <v>80</v>
      </c>
      <c r="K59" s="55">
        <f>0.64*0.9*J59/1000</f>
        <v>4.6080000000000003E-2</v>
      </c>
      <c r="L59" s="29">
        <v>1.51</v>
      </c>
      <c r="M59" s="30">
        <f>(E59+F59)*G59*L59</f>
        <v>55115</v>
      </c>
      <c r="N59" s="31">
        <f>G59*8*300</f>
        <v>175200</v>
      </c>
      <c r="O59" s="32">
        <f>M59*0.55</f>
        <v>30313.250000000004</v>
      </c>
      <c r="P59" s="32">
        <f>M59+N59+O59</f>
        <v>260628.25</v>
      </c>
      <c r="Q59" s="286">
        <v>2</v>
      </c>
      <c r="R59" s="33">
        <f>P59*Q59</f>
        <v>521256.5</v>
      </c>
      <c r="S59" s="74">
        <f>I59*K59*9</f>
        <v>48.936960000000006</v>
      </c>
      <c r="T59" s="288">
        <f>C61*150+E61*9</f>
        <v>63600</v>
      </c>
      <c r="U59" s="290">
        <v>0.3</v>
      </c>
      <c r="V59" s="280">
        <f>(R59+R61+R60+T59)+((R59+R61+R60+T59)*U59)+(S59+S60+S61)</f>
        <v>775063.39495999995</v>
      </c>
      <c r="W59" s="282">
        <f>V59/C61</f>
        <v>1937.6584873999998</v>
      </c>
    </row>
    <row r="60" spans="1:23" x14ac:dyDescent="0.25">
      <c r="A60" s="372"/>
      <c r="B60" s="96" t="s">
        <v>28</v>
      </c>
      <c r="C60" s="56">
        <v>800</v>
      </c>
      <c r="D60" s="35">
        <v>1</v>
      </c>
      <c r="E60" s="36">
        <f>C60/D60</f>
        <v>800</v>
      </c>
      <c r="F60" s="37">
        <v>100</v>
      </c>
      <c r="G60" s="37">
        <v>1</v>
      </c>
      <c r="H60" s="37">
        <f>(E60+F60)*G60</f>
        <v>900</v>
      </c>
      <c r="I60" s="51">
        <f>H60/4</f>
        <v>225</v>
      </c>
      <c r="J60" s="72">
        <v>120</v>
      </c>
      <c r="K60" s="13">
        <f>0.64*0.9*J60/1000</f>
        <v>6.9120000000000001E-2</v>
      </c>
      <c r="L60" s="38">
        <v>2.1</v>
      </c>
      <c r="M60" s="39">
        <f>(E60+F60)*G60*L60</f>
        <v>1890</v>
      </c>
      <c r="N60" s="40">
        <v>0</v>
      </c>
      <c r="O60" s="41">
        <f>M60*0.45</f>
        <v>850.5</v>
      </c>
      <c r="P60" s="41">
        <f>M60+N60+O60</f>
        <v>2740.5</v>
      </c>
      <c r="Q60" s="352"/>
      <c r="R60" s="42">
        <f>P60*Q59</f>
        <v>5481</v>
      </c>
      <c r="S60" s="75">
        <f>I60*K60*9</f>
        <v>139.96799999999999</v>
      </c>
      <c r="T60" s="319"/>
      <c r="U60" s="320"/>
      <c r="V60" s="321"/>
      <c r="W60" s="322"/>
    </row>
    <row r="61" spans="1:23" ht="15.75" thickBot="1" x14ac:dyDescent="0.3">
      <c r="A61" s="373"/>
      <c r="B61" s="97" t="s">
        <v>29</v>
      </c>
      <c r="C61" s="57">
        <v>400</v>
      </c>
      <c r="D61" s="43">
        <v>1</v>
      </c>
      <c r="E61" s="44">
        <f>C61/D61</f>
        <v>400</v>
      </c>
      <c r="F61" s="45">
        <v>100</v>
      </c>
      <c r="G61" s="45">
        <v>1</v>
      </c>
      <c r="H61" s="45">
        <f>(E61+F61)*G61</f>
        <v>500</v>
      </c>
      <c r="I61" s="53">
        <f>H61/4</f>
        <v>125</v>
      </c>
      <c r="J61" s="73">
        <v>130</v>
      </c>
      <c r="K61" s="58">
        <f>0.64*0.9*J61/1000</f>
        <v>7.4880000000000016E-2</v>
      </c>
      <c r="L61" s="46">
        <v>2.1</v>
      </c>
      <c r="M61" s="47">
        <f>(E61+F61)*L61</f>
        <v>1050</v>
      </c>
      <c r="N61" s="182">
        <f>G61*300*4</f>
        <v>1200</v>
      </c>
      <c r="O61" s="49">
        <f>M61*0.55</f>
        <v>577.5</v>
      </c>
      <c r="P61" s="49">
        <f>M61+N61+O61</f>
        <v>2827.5</v>
      </c>
      <c r="Q61" s="287"/>
      <c r="R61" s="50">
        <f>P61*Q59</f>
        <v>5655</v>
      </c>
      <c r="S61" s="76">
        <f>I61*K61*9</f>
        <v>84.240000000000009</v>
      </c>
      <c r="T61" s="289"/>
      <c r="U61" s="291"/>
      <c r="V61" s="281"/>
      <c r="W61" s="283"/>
    </row>
  </sheetData>
  <mergeCells count="55">
    <mergeCell ref="V54:V56"/>
    <mergeCell ref="W54:W56"/>
    <mergeCell ref="A57:A61"/>
    <mergeCell ref="B57:B58"/>
    <mergeCell ref="Q59:Q61"/>
    <mergeCell ref="T59:T61"/>
    <mergeCell ref="U59:U61"/>
    <mergeCell ref="V59:V61"/>
    <mergeCell ref="W59:W61"/>
    <mergeCell ref="A52:A56"/>
    <mergeCell ref="B52:B53"/>
    <mergeCell ref="Q54:Q56"/>
    <mergeCell ref="T54:T56"/>
    <mergeCell ref="U54:U56"/>
    <mergeCell ref="A36:W39"/>
    <mergeCell ref="V32:V34"/>
    <mergeCell ref="W32:W34"/>
    <mergeCell ref="A30:A34"/>
    <mergeCell ref="B30:B31"/>
    <mergeCell ref="Q32:Q34"/>
    <mergeCell ref="T32:T34"/>
    <mergeCell ref="U32:U34"/>
    <mergeCell ref="B17:N17"/>
    <mergeCell ref="B19:N19"/>
    <mergeCell ref="A21:A25"/>
    <mergeCell ref="B21:B22"/>
    <mergeCell ref="Q23:Q25"/>
    <mergeCell ref="A1:A5"/>
    <mergeCell ref="B1:B2"/>
    <mergeCell ref="B8:N8"/>
    <mergeCell ref="B10:N12"/>
    <mergeCell ref="B14:N15"/>
    <mergeCell ref="V3:V5"/>
    <mergeCell ref="W3:W5"/>
    <mergeCell ref="Q3:Q5"/>
    <mergeCell ref="V23:V25"/>
    <mergeCell ref="W23:W25"/>
    <mergeCell ref="T23:T25"/>
    <mergeCell ref="U23:U25"/>
    <mergeCell ref="T3:T5"/>
    <mergeCell ref="U3:U5"/>
    <mergeCell ref="V44:V46"/>
    <mergeCell ref="W44:W46"/>
    <mergeCell ref="A42:A46"/>
    <mergeCell ref="B42:B43"/>
    <mergeCell ref="Q44:Q46"/>
    <mergeCell ref="T44:T46"/>
    <mergeCell ref="U44:U46"/>
    <mergeCell ref="V49:V51"/>
    <mergeCell ref="W49:W51"/>
    <mergeCell ref="A47:A51"/>
    <mergeCell ref="B47:B48"/>
    <mergeCell ref="Q49:Q51"/>
    <mergeCell ref="T49:T51"/>
    <mergeCell ref="U49:U51"/>
  </mergeCells>
  <pageMargins left="0.7" right="0.7" top="0.75" bottom="0.75" header="0.3" footer="0.3"/>
  <pageSetup paperSize="9" scale="55" orientation="landscape" r:id="rId1"/>
  <ignoredErrors>
    <ignoredError sqref="O5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X43"/>
  <sheetViews>
    <sheetView topLeftCell="A31" zoomScale="80" zoomScaleNormal="80" workbookViewId="0">
      <selection activeCell="O41" sqref="O41"/>
    </sheetView>
  </sheetViews>
  <sheetFormatPr defaultRowHeight="15" x14ac:dyDescent="0.25"/>
  <cols>
    <col min="1" max="1" width="23.7109375" customWidth="1"/>
    <col min="2" max="2" width="12.140625" customWidth="1"/>
    <col min="3" max="3" width="11.28515625" customWidth="1"/>
    <col min="6" max="6" width="6.85546875" customWidth="1"/>
    <col min="7" max="7" width="8.42578125" customWidth="1"/>
    <col min="9" max="9" width="13.42578125" customWidth="1"/>
    <col min="10" max="10" width="8.140625" customWidth="1"/>
    <col min="11" max="11" width="16.7109375" customWidth="1"/>
    <col min="12" max="12" width="13.140625" customWidth="1"/>
    <col min="13" max="13" width="15" customWidth="1"/>
    <col min="14" max="14" width="12.140625" customWidth="1"/>
    <col min="16" max="16" width="12.140625" customWidth="1"/>
    <col min="17" max="17" width="11.42578125" customWidth="1"/>
    <col min="18" max="18" width="10.42578125" customWidth="1"/>
    <col min="19" max="19" width="18.28515625" customWidth="1"/>
    <col min="20" max="20" width="15.5703125" customWidth="1"/>
    <col min="21" max="21" width="15.7109375" customWidth="1"/>
    <col min="22" max="22" width="11.85546875" customWidth="1"/>
  </cols>
  <sheetData>
    <row r="1" spans="1:24" ht="51" x14ac:dyDescent="0.25">
      <c r="A1" s="1" t="s">
        <v>0</v>
      </c>
      <c r="B1" s="1"/>
      <c r="C1" s="2" t="s">
        <v>1</v>
      </c>
      <c r="D1" s="2" t="s">
        <v>2</v>
      </c>
      <c r="E1" s="3" t="s">
        <v>3</v>
      </c>
      <c r="F1" s="2" t="s">
        <v>4</v>
      </c>
      <c r="G1" s="2" t="s">
        <v>41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4" t="s">
        <v>42</v>
      </c>
      <c r="N1" s="2" t="s">
        <v>10</v>
      </c>
      <c r="O1" s="2" t="s">
        <v>11</v>
      </c>
      <c r="P1" s="2" t="s">
        <v>12</v>
      </c>
      <c r="Q1" s="2" t="s">
        <v>13</v>
      </c>
      <c r="R1" s="3" t="s">
        <v>14</v>
      </c>
      <c r="S1" s="3" t="s">
        <v>15</v>
      </c>
      <c r="T1" s="5" t="s">
        <v>16</v>
      </c>
      <c r="U1" s="5" t="s">
        <v>17</v>
      </c>
      <c r="V1" s="2" t="s">
        <v>18</v>
      </c>
      <c r="W1" s="6" t="s">
        <v>14</v>
      </c>
      <c r="X1" s="7" t="s">
        <v>19</v>
      </c>
    </row>
    <row r="2" spans="1:24" ht="15.75" customHeight="1" x14ac:dyDescent="0.25">
      <c r="A2" s="98" t="s">
        <v>44</v>
      </c>
      <c r="B2" s="98"/>
      <c r="C2" s="9">
        <v>500</v>
      </c>
      <c r="D2" s="10">
        <v>1</v>
      </c>
      <c r="E2" s="11">
        <f>C2/D2</f>
        <v>500</v>
      </c>
      <c r="F2" s="12">
        <v>100</v>
      </c>
      <c r="G2" s="12">
        <v>1</v>
      </c>
      <c r="H2" s="11">
        <f>(E2+F2)*G2/4</f>
        <v>150</v>
      </c>
      <c r="I2" s="70">
        <v>150</v>
      </c>
      <c r="J2" s="13">
        <f>0.64*0.9*I2/1000</f>
        <v>8.6400000000000005E-2</v>
      </c>
      <c r="K2" s="14">
        <v>2.7</v>
      </c>
      <c r="L2" s="15">
        <f>(E2+F2)*K2*G2</f>
        <v>1620</v>
      </c>
      <c r="M2" s="16">
        <f>4*200*G2</f>
        <v>800</v>
      </c>
      <c r="N2" s="17">
        <f>L2*0.45</f>
        <v>729</v>
      </c>
      <c r="O2" s="17">
        <f>L2+M2+N2</f>
        <v>3149</v>
      </c>
      <c r="P2" s="18">
        <v>2</v>
      </c>
      <c r="Q2" s="19">
        <f>O2*P2</f>
        <v>6298</v>
      </c>
      <c r="R2" s="20">
        <f>Q2/C2</f>
        <v>12.596</v>
      </c>
      <c r="S2" s="77">
        <f>J2*H2*3.5</f>
        <v>45.36</v>
      </c>
      <c r="T2" s="21">
        <f>(E2*9)+(4*C2*2.8)+(0.8*C2*5)+(C2*3)+(6*0.2*C2)</f>
        <v>14200</v>
      </c>
      <c r="U2" s="22">
        <v>0.3</v>
      </c>
      <c r="V2" s="19">
        <f>(T2+Q2)+((Q2+T2)*U2)+S2</f>
        <v>26692.760000000002</v>
      </c>
      <c r="W2" s="78">
        <f>V2/C2</f>
        <v>53.385520000000007</v>
      </c>
      <c r="X2" s="23">
        <f>H2*J2</f>
        <v>12.96</v>
      </c>
    </row>
    <row r="4" spans="1:24" ht="51" x14ac:dyDescent="0.25">
      <c r="A4" s="1" t="s">
        <v>0</v>
      </c>
      <c r="B4" s="1"/>
      <c r="C4" s="2" t="s">
        <v>1</v>
      </c>
      <c r="D4" s="2" t="s">
        <v>2</v>
      </c>
      <c r="E4" s="3" t="s">
        <v>3</v>
      </c>
      <c r="F4" s="2" t="s">
        <v>4</v>
      </c>
      <c r="G4" s="2" t="s">
        <v>41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4" t="s">
        <v>42</v>
      </c>
      <c r="N4" s="2" t="s">
        <v>10</v>
      </c>
      <c r="O4" s="2" t="s">
        <v>11</v>
      </c>
      <c r="P4" s="2" t="s">
        <v>12</v>
      </c>
      <c r="Q4" s="2" t="s">
        <v>13</v>
      </c>
      <c r="R4" s="3" t="s">
        <v>14</v>
      </c>
      <c r="S4" s="3" t="s">
        <v>15</v>
      </c>
      <c r="T4" s="5" t="s">
        <v>16</v>
      </c>
      <c r="U4" s="5" t="s">
        <v>17</v>
      </c>
      <c r="V4" s="2" t="s">
        <v>18</v>
      </c>
      <c r="W4" s="6" t="s">
        <v>14</v>
      </c>
      <c r="X4" s="7" t="s">
        <v>19</v>
      </c>
    </row>
    <row r="5" spans="1:24" x14ac:dyDescent="0.25">
      <c r="A5" s="8" t="s">
        <v>43</v>
      </c>
      <c r="B5" s="8"/>
      <c r="C5" s="9">
        <v>1000</v>
      </c>
      <c r="D5" s="10">
        <v>1</v>
      </c>
      <c r="E5" s="11">
        <f>C5/D5</f>
        <v>1000</v>
      </c>
      <c r="F5" s="12">
        <v>100</v>
      </c>
      <c r="G5" s="12">
        <v>2</v>
      </c>
      <c r="H5" s="11">
        <f>(E5+F5)*G5/4</f>
        <v>550</v>
      </c>
      <c r="I5" s="70">
        <v>170</v>
      </c>
      <c r="J5" s="13">
        <f>0.64*0.9*I5/1000</f>
        <v>9.7920000000000021E-2</v>
      </c>
      <c r="K5" s="14">
        <v>2.3199999999999998</v>
      </c>
      <c r="L5" s="15">
        <f>(E5+F5)*K5*G5</f>
        <v>5104</v>
      </c>
      <c r="M5" s="16">
        <f>4*175*G5</f>
        <v>1400</v>
      </c>
      <c r="N5" s="17">
        <f>L5*0.45</f>
        <v>2296.8000000000002</v>
      </c>
      <c r="O5" s="17">
        <f>L5+M5+N5</f>
        <v>8800.7999999999993</v>
      </c>
      <c r="P5" s="18">
        <v>2.2000000000000002</v>
      </c>
      <c r="Q5" s="19">
        <f>O5*P5</f>
        <v>19361.759999999998</v>
      </c>
      <c r="R5" s="20">
        <f>Q5/C5</f>
        <v>19.361759999999997</v>
      </c>
      <c r="S5" s="77">
        <f>J5*H5*3.5</f>
        <v>188.49600000000004</v>
      </c>
      <c r="T5" s="21">
        <f>(E5*G5*6)+(4*C5*2.5)+(0.8*C5*20)+(C5*8)</f>
        <v>46000</v>
      </c>
      <c r="U5" s="22">
        <v>0.3</v>
      </c>
      <c r="V5" s="19">
        <f>(T5+Q5)+((Q5+T5)*U5)+S5</f>
        <v>85158.784</v>
      </c>
      <c r="W5" s="78">
        <f>V5/C5</f>
        <v>85.158783999999997</v>
      </c>
      <c r="X5" s="23">
        <f>H5*J5</f>
        <v>53.856000000000009</v>
      </c>
    </row>
    <row r="7" spans="1:24" ht="51" x14ac:dyDescent="0.25">
      <c r="A7" s="1" t="s">
        <v>0</v>
      </c>
      <c r="B7" s="1"/>
      <c r="C7" s="2" t="s">
        <v>1</v>
      </c>
      <c r="D7" s="2" t="s">
        <v>2</v>
      </c>
      <c r="E7" s="3" t="s">
        <v>3</v>
      </c>
      <c r="F7" s="2" t="s">
        <v>4</v>
      </c>
      <c r="G7" s="2" t="s">
        <v>41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4" t="s">
        <v>42</v>
      </c>
      <c r="N7" s="2" t="s">
        <v>10</v>
      </c>
      <c r="O7" s="2" t="s">
        <v>11</v>
      </c>
      <c r="P7" s="2" t="s">
        <v>12</v>
      </c>
      <c r="Q7" s="2" t="s">
        <v>13</v>
      </c>
      <c r="R7" s="3" t="s">
        <v>14</v>
      </c>
      <c r="S7" s="3" t="s">
        <v>15</v>
      </c>
      <c r="T7" s="5" t="s">
        <v>16</v>
      </c>
      <c r="U7" s="5" t="s">
        <v>17</v>
      </c>
      <c r="V7" s="2" t="s">
        <v>18</v>
      </c>
      <c r="W7" s="6" t="s">
        <v>14</v>
      </c>
      <c r="X7" s="7" t="s">
        <v>19</v>
      </c>
    </row>
    <row r="8" spans="1:24" x14ac:dyDescent="0.25">
      <c r="A8" s="8" t="s">
        <v>47</v>
      </c>
      <c r="B8" s="8"/>
      <c r="C8" s="9">
        <v>2000</v>
      </c>
      <c r="D8" s="10">
        <v>16</v>
      </c>
      <c r="E8" s="11">
        <f>C8/D8</f>
        <v>125</v>
      </c>
      <c r="F8" s="12">
        <v>100</v>
      </c>
      <c r="G8" s="12">
        <v>1</v>
      </c>
      <c r="H8" s="11">
        <f>(E8+F8)*G8/4</f>
        <v>56.25</v>
      </c>
      <c r="I8" s="70">
        <v>170</v>
      </c>
      <c r="J8" s="13">
        <f>0.64*0.9*I8/1000</f>
        <v>9.7920000000000021E-2</v>
      </c>
      <c r="K8" s="14">
        <v>2.3199999999999998</v>
      </c>
      <c r="L8" s="15">
        <f>(E8+F8)*K8*G8</f>
        <v>522</v>
      </c>
      <c r="M8" s="16">
        <f>4*175*G8</f>
        <v>700</v>
      </c>
      <c r="N8" s="17">
        <f>L8*0.45</f>
        <v>234.9</v>
      </c>
      <c r="O8" s="17">
        <f>L8+M8+N8</f>
        <v>1456.9</v>
      </c>
      <c r="P8" s="18">
        <v>2.2000000000000002</v>
      </c>
      <c r="Q8" s="19">
        <f>O8*P8</f>
        <v>3205.1800000000003</v>
      </c>
      <c r="R8" s="20">
        <f>Q8/C8</f>
        <v>1.6025900000000002</v>
      </c>
      <c r="S8" s="77">
        <f>J8*H8*3.5</f>
        <v>19.278000000000002</v>
      </c>
      <c r="T8" s="21">
        <f>(E8*G8*6)+(4*C8*2.5)+(0.8*C8*20)+(C8*8)</f>
        <v>68750</v>
      </c>
      <c r="U8" s="22">
        <v>0.3</v>
      </c>
      <c r="V8" s="19">
        <f>(T8+Q8)+((Q8+T8)*U8)+S8</f>
        <v>93561.012000000002</v>
      </c>
      <c r="W8" s="78">
        <f>V8/C8</f>
        <v>46.780506000000003</v>
      </c>
      <c r="X8" s="23">
        <f>H8*J8</f>
        <v>5.5080000000000009</v>
      </c>
    </row>
    <row r="10" spans="1:24" ht="51" x14ac:dyDescent="0.25">
      <c r="A10" s="1" t="s">
        <v>0</v>
      </c>
      <c r="B10" s="1"/>
      <c r="C10" s="2" t="s">
        <v>1</v>
      </c>
      <c r="D10" s="2" t="s">
        <v>2</v>
      </c>
      <c r="E10" s="3" t="s">
        <v>3</v>
      </c>
      <c r="F10" s="2" t="s">
        <v>4</v>
      </c>
      <c r="G10" s="2" t="s">
        <v>41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4" t="s">
        <v>42</v>
      </c>
      <c r="N10" s="2" t="s">
        <v>10</v>
      </c>
      <c r="O10" s="2" t="s">
        <v>11</v>
      </c>
      <c r="P10" s="2" t="s">
        <v>12</v>
      </c>
      <c r="Q10" s="2" t="s">
        <v>13</v>
      </c>
      <c r="R10" s="3" t="s">
        <v>14</v>
      </c>
      <c r="S10" s="3" t="s">
        <v>15</v>
      </c>
      <c r="T10" s="5" t="s">
        <v>16</v>
      </c>
      <c r="U10" s="5" t="s">
        <v>17</v>
      </c>
      <c r="V10" s="2" t="s">
        <v>18</v>
      </c>
      <c r="W10" s="6" t="s">
        <v>14</v>
      </c>
      <c r="X10" s="7" t="s">
        <v>19</v>
      </c>
    </row>
    <row r="11" spans="1:24" x14ac:dyDescent="0.25">
      <c r="A11" s="374" t="s">
        <v>52</v>
      </c>
      <c r="B11" s="117" t="s">
        <v>53</v>
      </c>
      <c r="C11" s="9">
        <v>500</v>
      </c>
      <c r="D11" s="10">
        <v>1</v>
      </c>
      <c r="E11" s="11">
        <f>C11/D11</f>
        <v>500</v>
      </c>
      <c r="F11" s="12">
        <v>100</v>
      </c>
      <c r="G11" s="12">
        <v>2</v>
      </c>
      <c r="H11" s="11">
        <f>(E11+F11)*G11/4</f>
        <v>300</v>
      </c>
      <c r="I11" s="70">
        <v>170</v>
      </c>
      <c r="J11" s="13">
        <f>0.64*0.9*I11/1000</f>
        <v>9.7920000000000021E-2</v>
      </c>
      <c r="K11" s="14">
        <v>3.98</v>
      </c>
      <c r="L11" s="15">
        <f>(E11+F11)*K11*G11</f>
        <v>4776</v>
      </c>
      <c r="M11" s="16">
        <f>1*200*G11</f>
        <v>400</v>
      </c>
      <c r="N11" s="17">
        <f>L11*0.35</f>
        <v>1671.6</v>
      </c>
      <c r="O11" s="17">
        <f>L11+M11+N11</f>
        <v>6847.6</v>
      </c>
      <c r="P11" s="376">
        <v>2</v>
      </c>
      <c r="Q11" s="378">
        <f>(O11+O12)*P11</f>
        <v>19121.93</v>
      </c>
      <c r="R11" s="380">
        <f>Q11/C11</f>
        <v>38.243859999999998</v>
      </c>
      <c r="S11" s="77">
        <f>J11*H11*3.5</f>
        <v>102.81600000000002</v>
      </c>
      <c r="T11" s="382">
        <f>((E11+E12)*9)+(4*C11*2.8)+(C11*12)+(6*0.2*C11)</f>
        <v>21200</v>
      </c>
      <c r="U11" s="386">
        <v>0.3</v>
      </c>
      <c r="V11" s="378">
        <f>(T11+Q11)+((Q11+T11)*U11)+S11+S12</f>
        <v>52564.593399999998</v>
      </c>
      <c r="W11" s="384">
        <f>V11/C11</f>
        <v>105.1291868</v>
      </c>
      <c r="X11" s="23">
        <f>H11*J11</f>
        <v>29.376000000000005</v>
      </c>
    </row>
    <row r="12" spans="1:24" x14ac:dyDescent="0.25">
      <c r="A12" s="375"/>
      <c r="B12" s="118" t="s">
        <v>54</v>
      </c>
      <c r="C12" s="9">
        <v>500</v>
      </c>
      <c r="D12" s="10">
        <v>1</v>
      </c>
      <c r="E12" s="11">
        <f>C12/D12</f>
        <v>500</v>
      </c>
      <c r="F12" s="12">
        <v>5</v>
      </c>
      <c r="G12" s="12">
        <v>1</v>
      </c>
      <c r="H12" s="11">
        <f>(E12+F12)*G12/4</f>
        <v>126.25</v>
      </c>
      <c r="I12" s="70">
        <v>170</v>
      </c>
      <c r="J12" s="13">
        <f>0.64*0.9*I12/1000</f>
        <v>9.7920000000000021E-2</v>
      </c>
      <c r="K12" s="14">
        <v>3.98</v>
      </c>
      <c r="L12" s="15">
        <f>(E12+F12)*K12*G12</f>
        <v>2009.9</v>
      </c>
      <c r="M12" s="16">
        <v>0</v>
      </c>
      <c r="N12" s="17">
        <f>L12*0.35</f>
        <v>703.46500000000003</v>
      </c>
      <c r="O12" s="17">
        <f>L12+M12+N12</f>
        <v>2713.3650000000002</v>
      </c>
      <c r="P12" s="377"/>
      <c r="Q12" s="379"/>
      <c r="R12" s="381"/>
      <c r="S12" s="77">
        <f>J12*H12*3.5</f>
        <v>43.268400000000007</v>
      </c>
      <c r="T12" s="383"/>
      <c r="U12" s="387"/>
      <c r="V12" s="379"/>
      <c r="W12" s="385"/>
      <c r="X12" s="23">
        <f>H12*J12</f>
        <v>12.362400000000003</v>
      </c>
    </row>
    <row r="13" spans="1:24" ht="51" x14ac:dyDescent="0.25">
      <c r="A13" s="1" t="s">
        <v>0</v>
      </c>
      <c r="B13" s="1"/>
      <c r="C13" s="2" t="s">
        <v>1</v>
      </c>
      <c r="D13" s="2" t="s">
        <v>2</v>
      </c>
      <c r="E13" s="3" t="s">
        <v>3</v>
      </c>
      <c r="F13" s="2" t="s">
        <v>4</v>
      </c>
      <c r="G13" s="2" t="s">
        <v>41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4" t="s">
        <v>42</v>
      </c>
      <c r="N13" s="2" t="s">
        <v>10</v>
      </c>
      <c r="O13" s="2" t="s">
        <v>11</v>
      </c>
      <c r="P13" s="2" t="s">
        <v>12</v>
      </c>
      <c r="Q13" s="2" t="s">
        <v>13</v>
      </c>
      <c r="R13" s="3" t="s">
        <v>14</v>
      </c>
      <c r="S13" s="3" t="s">
        <v>15</v>
      </c>
      <c r="T13" s="5" t="s">
        <v>16</v>
      </c>
      <c r="U13" s="5" t="s">
        <v>17</v>
      </c>
      <c r="V13" s="2" t="s">
        <v>18</v>
      </c>
      <c r="W13" s="6" t="s">
        <v>14</v>
      </c>
      <c r="X13" s="7" t="s">
        <v>19</v>
      </c>
    </row>
    <row r="14" spans="1:24" s="133" customFormat="1" ht="24" x14ac:dyDescent="0.25">
      <c r="A14" s="374" t="s">
        <v>60</v>
      </c>
      <c r="B14" s="125" t="s">
        <v>59</v>
      </c>
      <c r="C14" s="127">
        <v>300</v>
      </c>
      <c r="D14" s="119">
        <v>1</v>
      </c>
      <c r="E14" s="120">
        <f>C14/D14</f>
        <v>300</v>
      </c>
      <c r="F14" s="121">
        <v>20</v>
      </c>
      <c r="G14" s="121">
        <v>1</v>
      </c>
      <c r="H14" s="120">
        <f>(E14+F14)*G14/4</f>
        <v>80</v>
      </c>
      <c r="I14" s="128">
        <v>170</v>
      </c>
      <c r="J14" s="129">
        <f>0.64*0.9*I14/1000</f>
        <v>9.7920000000000021E-2</v>
      </c>
      <c r="K14" s="130">
        <v>3.1</v>
      </c>
      <c r="L14" s="122">
        <f>(E14+F14)*K14*G14</f>
        <v>992</v>
      </c>
      <c r="M14" s="123">
        <v>0</v>
      </c>
      <c r="N14" s="124">
        <f>L14*0.35</f>
        <v>347.2</v>
      </c>
      <c r="O14" s="124">
        <f>L14+M14+N14</f>
        <v>1339.2</v>
      </c>
      <c r="P14" s="376">
        <v>2.5</v>
      </c>
      <c r="Q14" s="378">
        <f>(O14+O15)*P14</f>
        <v>6539.0625</v>
      </c>
      <c r="R14" s="380">
        <f>Q14/C14</f>
        <v>21.796875</v>
      </c>
      <c r="S14" s="131">
        <f>J14*H14*3.5</f>
        <v>27.417600000000004</v>
      </c>
      <c r="T14" s="382">
        <f>(E14+E15)*9+(E14+E15)*10*0.2+(C14*12)+(C14*6)+400+C15*4*2.8+E14*6</f>
        <v>17560</v>
      </c>
      <c r="U14" s="386">
        <v>0.3</v>
      </c>
      <c r="V14" s="378">
        <f>(T14+Q14)+((Q14+T14)*U14)+S14+S15</f>
        <v>31382.331249999999</v>
      </c>
      <c r="W14" s="384">
        <f>V14/C14</f>
        <v>104.60777083333333</v>
      </c>
      <c r="X14" s="132">
        <f>H14*J14</f>
        <v>7.8336000000000015</v>
      </c>
    </row>
    <row r="15" spans="1:24" s="133" customFormat="1" x14ac:dyDescent="0.25">
      <c r="A15" s="375"/>
      <c r="B15" s="126" t="s">
        <v>58</v>
      </c>
      <c r="C15" s="127">
        <v>300</v>
      </c>
      <c r="D15" s="119">
        <v>1</v>
      </c>
      <c r="E15" s="120">
        <f>C15/D15</f>
        <v>300</v>
      </c>
      <c r="F15" s="121">
        <v>5</v>
      </c>
      <c r="G15" s="121">
        <v>1</v>
      </c>
      <c r="H15" s="120">
        <f>(E15+F15)*G15/4</f>
        <v>76.25</v>
      </c>
      <c r="I15" s="128">
        <v>170</v>
      </c>
      <c r="J15" s="129">
        <f>0.64*0.9*I15/1000</f>
        <v>9.7920000000000021E-2</v>
      </c>
      <c r="K15" s="130">
        <v>3.1</v>
      </c>
      <c r="L15" s="122">
        <f>(E15+F15)*K15*G15</f>
        <v>945.5</v>
      </c>
      <c r="M15" s="123">
        <v>0</v>
      </c>
      <c r="N15" s="124">
        <f>L15*0.35</f>
        <v>330.92499999999995</v>
      </c>
      <c r="O15" s="124">
        <f>L15+M15+N15</f>
        <v>1276.425</v>
      </c>
      <c r="P15" s="377"/>
      <c r="Q15" s="379"/>
      <c r="R15" s="381"/>
      <c r="S15" s="131">
        <f>J15*H15*3.5</f>
        <v>26.132400000000008</v>
      </c>
      <c r="T15" s="383"/>
      <c r="U15" s="387"/>
      <c r="V15" s="379"/>
      <c r="W15" s="385"/>
      <c r="X15" s="132">
        <f>H15*J15</f>
        <v>7.4664000000000019</v>
      </c>
    </row>
    <row r="16" spans="1:24" ht="51" x14ac:dyDescent="0.25">
      <c r="A16" s="1" t="s">
        <v>0</v>
      </c>
      <c r="B16" s="1"/>
      <c r="C16" s="2" t="s">
        <v>1</v>
      </c>
      <c r="D16" s="2" t="s">
        <v>2</v>
      </c>
      <c r="E16" s="3" t="s">
        <v>3</v>
      </c>
      <c r="F16" s="2" t="s">
        <v>4</v>
      </c>
      <c r="G16" s="2" t="s">
        <v>41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4" t="s">
        <v>42</v>
      </c>
      <c r="N16" s="2" t="s">
        <v>10</v>
      </c>
      <c r="O16" s="2" t="s">
        <v>11</v>
      </c>
      <c r="P16" s="2" t="s">
        <v>12</v>
      </c>
      <c r="Q16" s="2" t="s">
        <v>13</v>
      </c>
      <c r="R16" s="3" t="s">
        <v>14</v>
      </c>
      <c r="S16" s="3" t="s">
        <v>15</v>
      </c>
      <c r="T16" s="5" t="s">
        <v>16</v>
      </c>
      <c r="U16" s="5" t="s">
        <v>17</v>
      </c>
      <c r="V16" s="2" t="s">
        <v>18</v>
      </c>
      <c r="W16" s="6" t="s">
        <v>14</v>
      </c>
      <c r="X16" s="7" t="s">
        <v>19</v>
      </c>
    </row>
    <row r="17" spans="1:24" ht="24" x14ac:dyDescent="0.25">
      <c r="A17" s="374" t="s">
        <v>60</v>
      </c>
      <c r="B17" s="125" t="s">
        <v>59</v>
      </c>
      <c r="C17" s="127">
        <v>300</v>
      </c>
      <c r="D17" s="119">
        <v>1</v>
      </c>
      <c r="E17" s="120">
        <f>C17/D17</f>
        <v>300</v>
      </c>
      <c r="F17" s="121">
        <v>20</v>
      </c>
      <c r="G17" s="121">
        <v>1</v>
      </c>
      <c r="H17" s="120">
        <f>(E17+F17)*G17/4</f>
        <v>80</v>
      </c>
      <c r="I17" s="128">
        <v>200</v>
      </c>
      <c r="J17" s="129">
        <f>0.64*0.9*I17/1000</f>
        <v>0.11520000000000001</v>
      </c>
      <c r="K17" s="130">
        <v>3.6</v>
      </c>
      <c r="L17" s="122">
        <f>(E17+F17)*K17*G17</f>
        <v>1152</v>
      </c>
      <c r="M17" s="123">
        <v>0</v>
      </c>
      <c r="N17" s="124">
        <f>L17*0.35</f>
        <v>403.2</v>
      </c>
      <c r="O17" s="124">
        <f>L17+M17+N17</f>
        <v>1555.2</v>
      </c>
      <c r="P17" s="376">
        <v>2.5</v>
      </c>
      <c r="Q17" s="378">
        <f>(O17+O18)*P17</f>
        <v>7593.75</v>
      </c>
      <c r="R17" s="380">
        <f>Q17/C17</f>
        <v>25.3125</v>
      </c>
      <c r="S17" s="131">
        <f>J17*H17*3.5</f>
        <v>32.256</v>
      </c>
      <c r="T17" s="382">
        <f>(E17+E18)*9+(E17+E18)*10*0.2+(C17*12)+(C17*6)+400+C18*4*2.8+E17*6</f>
        <v>17560</v>
      </c>
      <c r="U17" s="386">
        <v>0</v>
      </c>
      <c r="V17" s="378">
        <f>(T17+Q17)+((Q17+T17)*U17)+S17+S18</f>
        <v>25216.75</v>
      </c>
      <c r="W17" s="384">
        <f>V17/C17</f>
        <v>84.055833333333339</v>
      </c>
      <c r="X17" s="132">
        <f>H17*J17</f>
        <v>9.2160000000000011</v>
      </c>
    </row>
    <row r="18" spans="1:24" x14ac:dyDescent="0.25">
      <c r="A18" s="375"/>
      <c r="B18" s="126" t="s">
        <v>58</v>
      </c>
      <c r="C18" s="127">
        <v>300</v>
      </c>
      <c r="D18" s="119">
        <v>1</v>
      </c>
      <c r="E18" s="120">
        <f>C18/D18</f>
        <v>300</v>
      </c>
      <c r="F18" s="121">
        <v>5</v>
      </c>
      <c r="G18" s="121">
        <v>1</v>
      </c>
      <c r="H18" s="120">
        <f>(E18+F18)*G18/4</f>
        <v>76.25</v>
      </c>
      <c r="I18" s="128">
        <v>200</v>
      </c>
      <c r="J18" s="129">
        <f>0.64*0.9*I18/1000</f>
        <v>0.11520000000000001</v>
      </c>
      <c r="K18" s="130">
        <v>3.6</v>
      </c>
      <c r="L18" s="122">
        <f>(E18+F18)*K18*G18</f>
        <v>1098</v>
      </c>
      <c r="M18" s="123">
        <v>0</v>
      </c>
      <c r="N18" s="124">
        <f>L18*0.35</f>
        <v>384.29999999999995</v>
      </c>
      <c r="O18" s="124">
        <f>L18+M18+N18</f>
        <v>1482.3</v>
      </c>
      <c r="P18" s="377"/>
      <c r="Q18" s="379"/>
      <c r="R18" s="381"/>
      <c r="S18" s="131">
        <f>J18*H18*3.5</f>
        <v>30.744000000000003</v>
      </c>
      <c r="T18" s="383"/>
      <c r="U18" s="387"/>
      <c r="V18" s="379"/>
      <c r="W18" s="385"/>
      <c r="X18" s="132">
        <f>H18*J18</f>
        <v>8.7840000000000007</v>
      </c>
    </row>
    <row r="20" spans="1:24" ht="51" x14ac:dyDescent="0.25">
      <c r="A20" s="1" t="s">
        <v>0</v>
      </c>
      <c r="B20" s="1"/>
      <c r="C20" s="2" t="s">
        <v>1</v>
      </c>
      <c r="D20" s="2" t="s">
        <v>2</v>
      </c>
      <c r="E20" s="3" t="s">
        <v>3</v>
      </c>
      <c r="F20" s="2" t="s">
        <v>4</v>
      </c>
      <c r="G20" s="2" t="s">
        <v>41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4" t="s">
        <v>42</v>
      </c>
      <c r="N20" s="2" t="s">
        <v>10</v>
      </c>
      <c r="O20" s="2" t="s">
        <v>11</v>
      </c>
      <c r="P20" s="2" t="s">
        <v>12</v>
      </c>
      <c r="Q20" s="2" t="s">
        <v>13</v>
      </c>
      <c r="R20" s="3" t="s">
        <v>14</v>
      </c>
      <c r="S20" s="3" t="s">
        <v>15</v>
      </c>
      <c r="T20" s="5" t="s">
        <v>16</v>
      </c>
      <c r="U20" s="5" t="s">
        <v>17</v>
      </c>
      <c r="V20" s="2" t="s">
        <v>18</v>
      </c>
      <c r="W20" s="6" t="s">
        <v>14</v>
      </c>
      <c r="X20" s="7" t="s">
        <v>19</v>
      </c>
    </row>
    <row r="21" spans="1:24" x14ac:dyDescent="0.25">
      <c r="A21" s="374" t="s">
        <v>62</v>
      </c>
      <c r="B21" s="134" t="s">
        <v>61</v>
      </c>
      <c r="C21" s="9">
        <v>500</v>
      </c>
      <c r="D21" s="10">
        <v>1</v>
      </c>
      <c r="E21" s="11">
        <f>C21/D21</f>
        <v>500</v>
      </c>
      <c r="F21" s="12">
        <v>100</v>
      </c>
      <c r="G21" s="12">
        <v>1</v>
      </c>
      <c r="H21" s="11">
        <f>(E21+F21)*G21/4</f>
        <v>150</v>
      </c>
      <c r="I21" s="70">
        <v>170</v>
      </c>
      <c r="J21" s="13">
        <f>0.64*0.9*I21/1000</f>
        <v>9.7920000000000021E-2</v>
      </c>
      <c r="K21" s="14">
        <v>3.98</v>
      </c>
      <c r="L21" s="15">
        <f>(E21+F21)*K21*G21</f>
        <v>2388</v>
      </c>
      <c r="M21" s="16">
        <f>4*200*G21</f>
        <v>800</v>
      </c>
      <c r="N21" s="17">
        <f>L21*0.45</f>
        <v>1074.6000000000001</v>
      </c>
      <c r="O21" s="17">
        <f>L21+M21+N21</f>
        <v>4262.6000000000004</v>
      </c>
      <c r="P21" s="376">
        <v>3</v>
      </c>
      <c r="Q21" s="378">
        <f>(O21+O22)*P21</f>
        <v>21008.489999999998</v>
      </c>
      <c r="R21" s="380">
        <f>Q21/C21</f>
        <v>42.016979999999997</v>
      </c>
      <c r="S21" s="77">
        <f>J21*H21*3.5</f>
        <v>51.408000000000008</v>
      </c>
      <c r="T21" s="382">
        <f>((E21+E22)*9)+(4*C21*2.8)+(C21*12)+(6*0.2*C21)+(C22*0.8*21)</f>
        <v>29600</v>
      </c>
      <c r="U21" s="386">
        <v>0.3</v>
      </c>
      <c r="V21" s="378">
        <f>(T21+Q21)+((Q21+T21)*U21)+S21+S22</f>
        <v>65886.141799999998</v>
      </c>
      <c r="W21" s="384">
        <f>V21/C21</f>
        <v>131.77228360000001</v>
      </c>
      <c r="X21" s="23">
        <f>H21*J21</f>
        <v>14.688000000000002</v>
      </c>
    </row>
    <row r="22" spans="1:24" x14ac:dyDescent="0.25">
      <c r="A22" s="375"/>
      <c r="B22" s="135">
        <v>0</v>
      </c>
      <c r="C22" s="9">
        <v>500</v>
      </c>
      <c r="D22" s="10">
        <v>1</v>
      </c>
      <c r="E22" s="11">
        <f>C22/D22</f>
        <v>500</v>
      </c>
      <c r="F22" s="12">
        <v>10</v>
      </c>
      <c r="G22" s="12">
        <v>1</v>
      </c>
      <c r="H22" s="11">
        <f>(E22+F22)*G22/4</f>
        <v>127.5</v>
      </c>
      <c r="I22" s="70">
        <v>170</v>
      </c>
      <c r="J22" s="13">
        <f>0.64*0.9*I22/1000</f>
        <v>9.7920000000000021E-2</v>
      </c>
      <c r="K22" s="14">
        <v>3.98</v>
      </c>
      <c r="L22" s="15">
        <f>(E22+F22)*K22*G22</f>
        <v>2029.8</v>
      </c>
      <c r="M22" s="16">
        <v>0</v>
      </c>
      <c r="N22" s="17">
        <f>L22*0.35</f>
        <v>710.43</v>
      </c>
      <c r="O22" s="17">
        <f>L22+M22+N22</f>
        <v>2740.23</v>
      </c>
      <c r="P22" s="377"/>
      <c r="Q22" s="379"/>
      <c r="R22" s="381"/>
      <c r="S22" s="77">
        <f>J22*H22*3.5</f>
        <v>43.69680000000001</v>
      </c>
      <c r="T22" s="383"/>
      <c r="U22" s="387"/>
      <c r="V22" s="379"/>
      <c r="W22" s="385"/>
      <c r="X22" s="23">
        <f>H22*J22</f>
        <v>12.484800000000003</v>
      </c>
    </row>
    <row r="23" spans="1:24" ht="51" x14ac:dyDescent="0.25">
      <c r="A23" s="1" t="s">
        <v>0</v>
      </c>
      <c r="B23" s="1"/>
      <c r="C23" s="2" t="s">
        <v>1</v>
      </c>
      <c r="D23" s="2" t="s">
        <v>2</v>
      </c>
      <c r="E23" s="3" t="s">
        <v>3</v>
      </c>
      <c r="F23" s="2" t="s">
        <v>4</v>
      </c>
      <c r="G23" s="2" t="s">
        <v>41</v>
      </c>
      <c r="H23" s="2" t="s">
        <v>5</v>
      </c>
      <c r="I23" s="2" t="s">
        <v>6</v>
      </c>
      <c r="J23" s="2" t="s">
        <v>7</v>
      </c>
      <c r="K23" s="2" t="s">
        <v>8</v>
      </c>
      <c r="L23" s="2" t="s">
        <v>9</v>
      </c>
      <c r="M23" s="4" t="s">
        <v>42</v>
      </c>
      <c r="N23" s="2" t="s">
        <v>10</v>
      </c>
      <c r="O23" s="2" t="s">
        <v>11</v>
      </c>
      <c r="P23" s="2" t="s">
        <v>12</v>
      </c>
      <c r="Q23" s="2" t="s">
        <v>13</v>
      </c>
      <c r="R23" s="3" t="s">
        <v>14</v>
      </c>
      <c r="S23" s="3" t="s">
        <v>15</v>
      </c>
      <c r="T23" s="5" t="s">
        <v>16</v>
      </c>
      <c r="U23" s="5" t="s">
        <v>17</v>
      </c>
      <c r="V23" s="2" t="s">
        <v>18</v>
      </c>
      <c r="W23" s="6" t="s">
        <v>14</v>
      </c>
      <c r="X23" s="7" t="s">
        <v>19</v>
      </c>
    </row>
    <row r="24" spans="1:24" x14ac:dyDescent="0.25">
      <c r="A24" s="374" t="s">
        <v>62</v>
      </c>
      <c r="B24" s="134" t="s">
        <v>61</v>
      </c>
      <c r="C24" s="9">
        <v>500</v>
      </c>
      <c r="D24" s="10">
        <v>1</v>
      </c>
      <c r="E24" s="11">
        <f>C24/D24</f>
        <v>500</v>
      </c>
      <c r="F24" s="12">
        <v>100</v>
      </c>
      <c r="G24" s="12">
        <v>1</v>
      </c>
      <c r="H24" s="11">
        <f>(E24+F24)*G24/4</f>
        <v>150</v>
      </c>
      <c r="I24" s="70">
        <v>170</v>
      </c>
      <c r="J24" s="13">
        <f>0.64*0.9*I24/1000</f>
        <v>9.7920000000000021E-2</v>
      </c>
      <c r="K24" s="14">
        <v>3.98</v>
      </c>
      <c r="L24" s="15">
        <f>(E24+F24)*K24*G24</f>
        <v>2388</v>
      </c>
      <c r="M24" s="16">
        <f>4*200*G24</f>
        <v>800</v>
      </c>
      <c r="N24" s="17">
        <f>L24*0.45</f>
        <v>1074.6000000000001</v>
      </c>
      <c r="O24" s="17">
        <f>L24+M24+N24</f>
        <v>4262.6000000000004</v>
      </c>
      <c r="P24" s="376">
        <v>3</v>
      </c>
      <c r="Q24" s="378">
        <f>(O24+O25)*P24</f>
        <v>23408.489999999998</v>
      </c>
      <c r="R24" s="380">
        <f>Q24/C24</f>
        <v>46.816979999999994</v>
      </c>
      <c r="S24" s="77">
        <f>J24*H24*3.5</f>
        <v>51.408000000000008</v>
      </c>
      <c r="T24" s="382">
        <f>((E24+E25)*9)+(4*C24*2.8)+(C24*12)+(6*0.2*C24)+(C25*0.8*21)</f>
        <v>29600</v>
      </c>
      <c r="U24" s="386">
        <v>0.3</v>
      </c>
      <c r="V24" s="378">
        <f>(T24+Q24)+((Q24+T24)*U24)+S24+S25</f>
        <v>69006.141799999998</v>
      </c>
      <c r="W24" s="384">
        <f>V24/C24</f>
        <v>138.01228359999999</v>
      </c>
      <c r="X24" s="23">
        <f>H24*J24</f>
        <v>14.688000000000002</v>
      </c>
    </row>
    <row r="25" spans="1:24" x14ac:dyDescent="0.25">
      <c r="A25" s="375"/>
      <c r="B25" s="135">
        <v>0</v>
      </c>
      <c r="C25" s="9">
        <v>500</v>
      </c>
      <c r="D25" s="10">
        <v>1</v>
      </c>
      <c r="E25" s="11">
        <f>C25/D25</f>
        <v>500</v>
      </c>
      <c r="F25" s="12">
        <v>10</v>
      </c>
      <c r="G25" s="12">
        <v>1</v>
      </c>
      <c r="H25" s="11">
        <f>(E25+F25)*G25/4</f>
        <v>127.5</v>
      </c>
      <c r="I25" s="70">
        <v>170</v>
      </c>
      <c r="J25" s="13">
        <f>0.64*0.9*I25/1000</f>
        <v>9.7920000000000021E-2</v>
      </c>
      <c r="K25" s="14">
        <v>3.98</v>
      </c>
      <c r="L25" s="15">
        <f>(E25+F25)*K25*G25</f>
        <v>2029.8</v>
      </c>
      <c r="M25" s="16">
        <f>4*200*G25</f>
        <v>800</v>
      </c>
      <c r="N25" s="17">
        <f>L25*0.35</f>
        <v>710.43</v>
      </c>
      <c r="O25" s="17">
        <f>L25+M25+N25</f>
        <v>3540.23</v>
      </c>
      <c r="P25" s="377"/>
      <c r="Q25" s="379"/>
      <c r="R25" s="381"/>
      <c r="S25" s="77">
        <f>J25*H25*3.5</f>
        <v>43.69680000000001</v>
      </c>
      <c r="T25" s="383"/>
      <c r="U25" s="387"/>
      <c r="V25" s="379"/>
      <c r="W25" s="385"/>
      <c r="X25" s="23">
        <f>H25*J25</f>
        <v>12.484800000000003</v>
      </c>
    </row>
    <row r="26" spans="1:24" ht="51" x14ac:dyDescent="0.25">
      <c r="A26" s="1" t="s">
        <v>0</v>
      </c>
      <c r="B26" s="1"/>
      <c r="C26" s="2" t="s">
        <v>1</v>
      </c>
      <c r="D26" s="2" t="s">
        <v>2</v>
      </c>
      <c r="E26" s="3" t="s">
        <v>3</v>
      </c>
      <c r="F26" s="2" t="s">
        <v>4</v>
      </c>
      <c r="G26" s="2" t="s">
        <v>41</v>
      </c>
      <c r="H26" s="2" t="s">
        <v>5</v>
      </c>
      <c r="I26" s="2" t="s">
        <v>6</v>
      </c>
      <c r="J26" s="2" t="s">
        <v>7</v>
      </c>
      <c r="K26" s="2" t="s">
        <v>8</v>
      </c>
      <c r="L26" s="2" t="s">
        <v>9</v>
      </c>
      <c r="M26" s="4" t="s">
        <v>42</v>
      </c>
      <c r="N26" s="2" t="s">
        <v>10</v>
      </c>
      <c r="O26" s="2" t="s">
        <v>11</v>
      </c>
      <c r="P26" s="2" t="s">
        <v>12</v>
      </c>
      <c r="Q26" s="2" t="s">
        <v>13</v>
      </c>
      <c r="R26" s="3" t="s">
        <v>14</v>
      </c>
      <c r="S26" s="3" t="s">
        <v>15</v>
      </c>
      <c r="T26" s="5" t="s">
        <v>16</v>
      </c>
      <c r="U26" s="5" t="s">
        <v>17</v>
      </c>
      <c r="V26" s="2" t="s">
        <v>18</v>
      </c>
      <c r="W26" s="6" t="s">
        <v>14</v>
      </c>
      <c r="X26" s="7" t="s">
        <v>19</v>
      </c>
    </row>
    <row r="27" spans="1:24" x14ac:dyDescent="0.25">
      <c r="A27" s="374" t="s">
        <v>62</v>
      </c>
      <c r="B27" s="134" t="s">
        <v>61</v>
      </c>
      <c r="C27" s="9">
        <v>1000</v>
      </c>
      <c r="D27" s="10">
        <v>1</v>
      </c>
      <c r="E27" s="11">
        <f>C27/D27</f>
        <v>1000</v>
      </c>
      <c r="F27" s="12">
        <v>100</v>
      </c>
      <c r="G27" s="12">
        <v>1</v>
      </c>
      <c r="H27" s="11">
        <f>(E27+F27)*G27/4</f>
        <v>275</v>
      </c>
      <c r="I27" s="70">
        <v>170</v>
      </c>
      <c r="J27" s="13">
        <f>0.64*0.9*I27/1000</f>
        <v>9.7920000000000021E-2</v>
      </c>
      <c r="K27" s="14">
        <v>3.98</v>
      </c>
      <c r="L27" s="15">
        <f>(E27+F27)*K27*G27</f>
        <v>4378</v>
      </c>
      <c r="M27" s="16">
        <f>4*200*G27</f>
        <v>800</v>
      </c>
      <c r="N27" s="17">
        <f>L27*0.45</f>
        <v>1970.1000000000001</v>
      </c>
      <c r="O27" s="17">
        <f>L27+M27+N27</f>
        <v>7148.1</v>
      </c>
      <c r="P27" s="376">
        <v>3</v>
      </c>
      <c r="Q27" s="378">
        <f>(O27+O28)*P27</f>
        <v>37724.490000000005</v>
      </c>
      <c r="R27" s="380">
        <f>Q27/C27</f>
        <v>37.724490000000003</v>
      </c>
      <c r="S27" s="77">
        <f>J27*H27*3.5</f>
        <v>94.248000000000019</v>
      </c>
      <c r="T27" s="382">
        <f>((E27+E28)*9)+(4*C27*2.8)+(C27*12)+(6*0.2*C27)+(C28*0.8*21)</f>
        <v>59200</v>
      </c>
      <c r="U27" s="386">
        <v>0.3</v>
      </c>
      <c r="V27" s="378">
        <f>(T27+Q27)+((Q27+T27)*U27)+S27+S28</f>
        <v>126182.62180000001</v>
      </c>
      <c r="W27" s="384">
        <f>V27/C27</f>
        <v>126.18262180000001</v>
      </c>
      <c r="X27" s="23">
        <f>H27*J27</f>
        <v>26.928000000000004</v>
      </c>
    </row>
    <row r="28" spans="1:24" x14ac:dyDescent="0.25">
      <c r="A28" s="375"/>
      <c r="B28" s="135">
        <v>0</v>
      </c>
      <c r="C28" s="9">
        <v>1000</v>
      </c>
      <c r="D28" s="10">
        <v>1</v>
      </c>
      <c r="E28" s="11">
        <f>C28/D28</f>
        <v>1000</v>
      </c>
      <c r="F28" s="12">
        <v>10</v>
      </c>
      <c r="G28" s="12">
        <v>1</v>
      </c>
      <c r="H28" s="11">
        <f>(E28+F28)*G28/4</f>
        <v>252.5</v>
      </c>
      <c r="I28" s="70">
        <v>170</v>
      </c>
      <c r="J28" s="13">
        <f>0.64*0.9*I28/1000</f>
        <v>9.7920000000000021E-2</v>
      </c>
      <c r="K28" s="14">
        <v>3.98</v>
      </c>
      <c r="L28" s="15">
        <f>(E28+F28)*K28*G28</f>
        <v>4019.8</v>
      </c>
      <c r="M28" s="16">
        <v>0</v>
      </c>
      <c r="N28" s="17">
        <f>L28*0.35</f>
        <v>1406.93</v>
      </c>
      <c r="O28" s="17">
        <f>L28+M28+N28</f>
        <v>5426.7300000000005</v>
      </c>
      <c r="P28" s="377"/>
      <c r="Q28" s="379"/>
      <c r="R28" s="381"/>
      <c r="S28" s="77">
        <f>J28*H28*3.5</f>
        <v>86.536800000000014</v>
      </c>
      <c r="T28" s="383"/>
      <c r="U28" s="387"/>
      <c r="V28" s="379"/>
      <c r="W28" s="385"/>
      <c r="X28" s="23">
        <f>H28*J28</f>
        <v>24.724800000000005</v>
      </c>
    </row>
    <row r="29" spans="1:24" ht="51" x14ac:dyDescent="0.25">
      <c r="A29" s="1" t="s">
        <v>0</v>
      </c>
      <c r="B29" s="1"/>
      <c r="C29" s="2" t="s">
        <v>1</v>
      </c>
      <c r="D29" s="2" t="s">
        <v>2</v>
      </c>
      <c r="E29" s="3" t="s">
        <v>3</v>
      </c>
      <c r="F29" s="2" t="s">
        <v>4</v>
      </c>
      <c r="G29" s="2" t="s">
        <v>41</v>
      </c>
      <c r="H29" s="2" t="s">
        <v>5</v>
      </c>
      <c r="I29" s="2" t="s">
        <v>6</v>
      </c>
      <c r="J29" s="2" t="s">
        <v>7</v>
      </c>
      <c r="K29" s="2" t="s">
        <v>8</v>
      </c>
      <c r="L29" s="2" t="s">
        <v>9</v>
      </c>
      <c r="M29" s="4" t="s">
        <v>42</v>
      </c>
      <c r="N29" s="2" t="s">
        <v>10</v>
      </c>
      <c r="O29" s="2" t="s">
        <v>11</v>
      </c>
      <c r="P29" s="2" t="s">
        <v>12</v>
      </c>
      <c r="Q29" s="2" t="s">
        <v>13</v>
      </c>
      <c r="R29" s="3" t="s">
        <v>14</v>
      </c>
      <c r="S29" s="3" t="s">
        <v>15</v>
      </c>
      <c r="T29" s="5" t="s">
        <v>16</v>
      </c>
      <c r="U29" s="5" t="s">
        <v>17</v>
      </c>
      <c r="V29" s="2" t="s">
        <v>18</v>
      </c>
      <c r="W29" s="6" t="s">
        <v>14</v>
      </c>
      <c r="X29" s="7" t="s">
        <v>19</v>
      </c>
    </row>
    <row r="30" spans="1:24" x14ac:dyDescent="0.25">
      <c r="A30" s="374" t="s">
        <v>62</v>
      </c>
      <c r="B30" s="134" t="s">
        <v>61</v>
      </c>
      <c r="C30" s="9">
        <v>1000</v>
      </c>
      <c r="D30" s="10">
        <v>1</v>
      </c>
      <c r="E30" s="11">
        <f>C30/D30</f>
        <v>1000</v>
      </c>
      <c r="F30" s="12">
        <v>100</v>
      </c>
      <c r="G30" s="12">
        <v>1</v>
      </c>
      <c r="H30" s="11">
        <f>(E30+F30)*G30/4</f>
        <v>275</v>
      </c>
      <c r="I30" s="70">
        <v>170</v>
      </c>
      <c r="J30" s="13">
        <f>0.64*0.9*I30/1000</f>
        <v>9.7920000000000021E-2</v>
      </c>
      <c r="K30" s="14">
        <v>3.98</v>
      </c>
      <c r="L30" s="15">
        <f>(E30+F30)*K30*G30</f>
        <v>4378</v>
      </c>
      <c r="M30" s="16">
        <f>4*200*G30</f>
        <v>800</v>
      </c>
      <c r="N30" s="17">
        <f>L30*0.45</f>
        <v>1970.1000000000001</v>
      </c>
      <c r="O30" s="17">
        <f>L30+M30+N30</f>
        <v>7148.1</v>
      </c>
      <c r="P30" s="376">
        <v>3</v>
      </c>
      <c r="Q30" s="378">
        <f>(O30+O31)*P30</f>
        <v>40124.490000000005</v>
      </c>
      <c r="R30" s="380">
        <f>Q30/C30</f>
        <v>40.124490000000009</v>
      </c>
      <c r="S30" s="77">
        <f>J30*H30*3.5</f>
        <v>94.248000000000019</v>
      </c>
      <c r="T30" s="382">
        <f>((E30+E31)*9)+(4*C30*2.8)+(C30*12)+(6*0.2*C30)+(C31*0.8*21)</f>
        <v>59200</v>
      </c>
      <c r="U30" s="386">
        <v>0.3</v>
      </c>
      <c r="V30" s="378">
        <f>(T30+Q30)+((Q30+T30)*U30)+S30+S31</f>
        <v>129302.62180000001</v>
      </c>
      <c r="W30" s="384">
        <f>V30/C30</f>
        <v>129.3026218</v>
      </c>
      <c r="X30" s="23">
        <f>H30*J30</f>
        <v>26.928000000000004</v>
      </c>
    </row>
    <row r="31" spans="1:24" x14ac:dyDescent="0.25">
      <c r="A31" s="375"/>
      <c r="B31" s="135">
        <v>0</v>
      </c>
      <c r="C31" s="9">
        <v>1000</v>
      </c>
      <c r="D31" s="10">
        <v>1</v>
      </c>
      <c r="E31" s="11">
        <f>C31/D31</f>
        <v>1000</v>
      </c>
      <c r="F31" s="12">
        <v>10</v>
      </c>
      <c r="G31" s="12">
        <v>1</v>
      </c>
      <c r="H31" s="11">
        <f>(E31+F31)*G31/4</f>
        <v>252.5</v>
      </c>
      <c r="I31" s="70">
        <v>170</v>
      </c>
      <c r="J31" s="13">
        <f>0.64*0.9*I31/1000</f>
        <v>9.7920000000000021E-2</v>
      </c>
      <c r="K31" s="14">
        <v>3.98</v>
      </c>
      <c r="L31" s="15">
        <f>(E31+F31)*K31*G31</f>
        <v>4019.8</v>
      </c>
      <c r="M31" s="16">
        <f>4*200*G31</f>
        <v>800</v>
      </c>
      <c r="N31" s="17">
        <f>L31*0.35</f>
        <v>1406.93</v>
      </c>
      <c r="O31" s="17">
        <f>L31+M31+N31</f>
        <v>6226.7300000000005</v>
      </c>
      <c r="P31" s="377"/>
      <c r="Q31" s="379"/>
      <c r="R31" s="381"/>
      <c r="S31" s="77">
        <f>J31*H31*3.5</f>
        <v>86.536800000000014</v>
      </c>
      <c r="T31" s="383"/>
      <c r="U31" s="387"/>
      <c r="V31" s="379"/>
      <c r="W31" s="385"/>
      <c r="X31" s="23">
        <f>H31*J31</f>
        <v>24.724800000000005</v>
      </c>
    </row>
    <row r="32" spans="1:24" ht="51" x14ac:dyDescent="0.25">
      <c r="A32" s="1" t="s">
        <v>0</v>
      </c>
      <c r="B32" s="1"/>
      <c r="C32" s="2" t="s">
        <v>1</v>
      </c>
      <c r="D32" s="2" t="s">
        <v>2</v>
      </c>
      <c r="E32" s="3" t="s">
        <v>3</v>
      </c>
      <c r="F32" s="2" t="s">
        <v>4</v>
      </c>
      <c r="G32" s="2" t="s">
        <v>41</v>
      </c>
      <c r="H32" s="2" t="s">
        <v>5</v>
      </c>
      <c r="I32" s="2" t="s">
        <v>6</v>
      </c>
      <c r="J32" s="2" t="s">
        <v>7</v>
      </c>
      <c r="K32" s="2" t="s">
        <v>8</v>
      </c>
      <c r="L32" s="2" t="s">
        <v>9</v>
      </c>
      <c r="M32" s="4" t="s">
        <v>42</v>
      </c>
      <c r="N32" s="2" t="s">
        <v>10</v>
      </c>
      <c r="O32" s="2" t="s">
        <v>11</v>
      </c>
      <c r="P32" s="2" t="s">
        <v>12</v>
      </c>
      <c r="Q32" s="2" t="s">
        <v>13</v>
      </c>
      <c r="R32" s="3" t="s">
        <v>14</v>
      </c>
      <c r="S32" s="3" t="s">
        <v>15</v>
      </c>
      <c r="T32" s="5" t="s">
        <v>16</v>
      </c>
      <c r="U32" s="5" t="s">
        <v>17</v>
      </c>
      <c r="V32" s="2" t="s">
        <v>18</v>
      </c>
      <c r="W32" s="6" t="s">
        <v>14</v>
      </c>
      <c r="X32" s="7" t="s">
        <v>19</v>
      </c>
    </row>
    <row r="33" spans="1:24" x14ac:dyDescent="0.25">
      <c r="A33" s="374" t="s">
        <v>67</v>
      </c>
      <c r="B33" s="136" t="s">
        <v>61</v>
      </c>
      <c r="C33" s="9">
        <v>150</v>
      </c>
      <c r="D33" s="10">
        <v>1</v>
      </c>
      <c r="E33" s="11">
        <f>C33/D33</f>
        <v>150</v>
      </c>
      <c r="F33" s="12">
        <v>100</v>
      </c>
      <c r="G33" s="12">
        <v>1</v>
      </c>
      <c r="H33" s="11">
        <f>(E33+F33)*G33/4</f>
        <v>62.5</v>
      </c>
      <c r="I33" s="70">
        <v>170</v>
      </c>
      <c r="J33" s="13">
        <f>0.64*0.9*I33/1000</f>
        <v>9.7920000000000021E-2</v>
      </c>
      <c r="K33" s="14">
        <v>3.25</v>
      </c>
      <c r="L33" s="15">
        <f>(E33+F33)*K33*G33</f>
        <v>812.5</v>
      </c>
      <c r="M33" s="16">
        <f>4*200*G33</f>
        <v>800</v>
      </c>
      <c r="N33" s="17">
        <f>L33*0.45</f>
        <v>365.625</v>
      </c>
      <c r="O33" s="17">
        <f>L33+M33+N33</f>
        <v>1978.125</v>
      </c>
      <c r="P33" s="376">
        <v>3.2</v>
      </c>
      <c r="Q33" s="378">
        <f>(O33+O34)*P33</f>
        <v>12660</v>
      </c>
      <c r="R33" s="380">
        <f>Q33/C33</f>
        <v>84.4</v>
      </c>
      <c r="S33" s="77">
        <f>J33*H33*5</f>
        <v>30.600000000000005</v>
      </c>
      <c r="T33" s="382">
        <f>(C33+C34)*9+(4*C33*2.8)+(C33*12)+(6*0.4*C33)+(C34*0.8*21)</f>
        <v>9060</v>
      </c>
      <c r="U33" s="386">
        <v>0.3</v>
      </c>
      <c r="V33" s="378">
        <f>(T33+Q33)+((Q33+T33)*U33)+S33+S34</f>
        <v>28297.199999999997</v>
      </c>
      <c r="W33" s="384">
        <f>V33/C33</f>
        <v>188.64799999999997</v>
      </c>
      <c r="X33" s="23">
        <f>H33*J33</f>
        <v>6.120000000000001</v>
      </c>
    </row>
    <row r="34" spans="1:24" x14ac:dyDescent="0.25">
      <c r="A34" s="375"/>
      <c r="B34" s="137">
        <v>0</v>
      </c>
      <c r="C34" s="9">
        <v>150</v>
      </c>
      <c r="D34" s="10">
        <v>1</v>
      </c>
      <c r="E34" s="11">
        <f>C34/D34</f>
        <v>150</v>
      </c>
      <c r="F34" s="12">
        <v>100</v>
      </c>
      <c r="G34" s="12">
        <v>1</v>
      </c>
      <c r="H34" s="11">
        <f>(E34+F34)*G34/4</f>
        <v>62.5</v>
      </c>
      <c r="I34" s="70">
        <v>170</v>
      </c>
      <c r="J34" s="13">
        <f>0.64*0.9*I34/1000</f>
        <v>9.7920000000000021E-2</v>
      </c>
      <c r="K34" s="14">
        <v>3.25</v>
      </c>
      <c r="L34" s="15">
        <f>(E34+F34)*K34*G34</f>
        <v>812.5</v>
      </c>
      <c r="M34" s="16">
        <f>4*200*G34</f>
        <v>800</v>
      </c>
      <c r="N34" s="17">
        <f>L34*0.45</f>
        <v>365.625</v>
      </c>
      <c r="O34" s="17">
        <f>L34+M34+N34</f>
        <v>1978.125</v>
      </c>
      <c r="P34" s="377"/>
      <c r="Q34" s="379"/>
      <c r="R34" s="381"/>
      <c r="S34" s="77">
        <f>J34*H34*5</f>
        <v>30.600000000000005</v>
      </c>
      <c r="T34" s="383"/>
      <c r="U34" s="387"/>
      <c r="V34" s="379"/>
      <c r="W34" s="385"/>
      <c r="X34" s="23">
        <f>H34*J34</f>
        <v>6.120000000000001</v>
      </c>
    </row>
    <row r="35" spans="1:24" ht="63.75" x14ac:dyDescent="0.25">
      <c r="A35" s="1" t="s">
        <v>0</v>
      </c>
      <c r="B35" s="1" t="s">
        <v>1</v>
      </c>
      <c r="C35" s="2" t="s">
        <v>63</v>
      </c>
      <c r="D35" s="2" t="s">
        <v>2</v>
      </c>
      <c r="E35" s="3" t="s">
        <v>3</v>
      </c>
      <c r="F35" s="2" t="s">
        <v>4</v>
      </c>
      <c r="G35" s="2" t="s">
        <v>41</v>
      </c>
      <c r="H35" s="2" t="s">
        <v>5</v>
      </c>
      <c r="I35" s="2" t="s">
        <v>6</v>
      </c>
      <c r="J35" s="2" t="s">
        <v>7</v>
      </c>
      <c r="K35" s="2" t="s">
        <v>8</v>
      </c>
      <c r="L35" s="2" t="s">
        <v>9</v>
      </c>
      <c r="M35" s="4" t="s">
        <v>42</v>
      </c>
      <c r="N35" s="2" t="s">
        <v>10</v>
      </c>
      <c r="O35" s="2" t="s">
        <v>11</v>
      </c>
      <c r="P35" s="2" t="s">
        <v>12</v>
      </c>
      <c r="Q35" s="2" t="s">
        <v>13</v>
      </c>
      <c r="R35" s="3" t="s">
        <v>14</v>
      </c>
      <c r="S35" s="3" t="s">
        <v>15</v>
      </c>
      <c r="T35" s="5" t="s">
        <v>16</v>
      </c>
      <c r="U35" s="5" t="s">
        <v>17</v>
      </c>
      <c r="V35" s="2" t="s">
        <v>18</v>
      </c>
      <c r="W35" s="6" t="s">
        <v>14</v>
      </c>
      <c r="X35" s="7" t="s">
        <v>19</v>
      </c>
    </row>
    <row r="36" spans="1:24" ht="30" x14ac:dyDescent="0.25">
      <c r="A36" s="138" t="s">
        <v>64</v>
      </c>
      <c r="B36" s="149">
        <f>C36</f>
        <v>200</v>
      </c>
      <c r="C36" s="127">
        <v>200</v>
      </c>
      <c r="D36" s="145">
        <v>1</v>
      </c>
      <c r="E36" s="146">
        <f>C36/D36</f>
        <v>200</v>
      </c>
      <c r="F36" s="147">
        <v>100</v>
      </c>
      <c r="G36" s="147">
        <v>1</v>
      </c>
      <c r="H36" s="146">
        <f>(E36+F36)*G36/4</f>
        <v>75</v>
      </c>
      <c r="I36" s="128">
        <v>150</v>
      </c>
      <c r="J36" s="129">
        <f>0.64*0.9*I36/1000</f>
        <v>8.6400000000000005E-2</v>
      </c>
      <c r="K36" s="130">
        <v>2.7</v>
      </c>
      <c r="L36" s="148">
        <f>(E36+F36)*K36*G36</f>
        <v>810</v>
      </c>
      <c r="M36" s="140">
        <f>4*200*G36</f>
        <v>800</v>
      </c>
      <c r="N36" s="141">
        <f>L36*0.5</f>
        <v>405</v>
      </c>
      <c r="O36" s="141">
        <f>L36+M36+N36</f>
        <v>2015</v>
      </c>
      <c r="P36" s="142">
        <v>3.1</v>
      </c>
      <c r="Q36" s="143">
        <f>O36*P36</f>
        <v>6246.5</v>
      </c>
      <c r="R36" s="144">
        <f>Q36/C36</f>
        <v>31.232500000000002</v>
      </c>
      <c r="S36" s="131">
        <f>J36*H36*3.5</f>
        <v>22.68</v>
      </c>
      <c r="T36" s="150">
        <f>(E36*9)+(4*C36*2.8)+(0.8*C36*21)+(C36*5)+(6*0.2*C36)</f>
        <v>8640</v>
      </c>
      <c r="U36" s="139">
        <v>0.3</v>
      </c>
      <c r="V36" s="143">
        <f>(T36+Q36)+((Q36+T36)*U36)+S36</f>
        <v>19375.13</v>
      </c>
      <c r="W36" s="99">
        <f>V36/C36</f>
        <v>96.875650000000007</v>
      </c>
      <c r="X36" s="132">
        <f>H36*J36</f>
        <v>6.48</v>
      </c>
    </row>
    <row r="37" spans="1:24" ht="45" x14ac:dyDescent="0.25">
      <c r="A37" s="138" t="s">
        <v>65</v>
      </c>
      <c r="B37" s="138">
        <v>1000</v>
      </c>
      <c r="C37" s="127">
        <f>B37*2</f>
        <v>2000</v>
      </c>
      <c r="D37" s="145">
        <v>1</v>
      </c>
      <c r="E37" s="146">
        <f>C37/D37</f>
        <v>2000</v>
      </c>
      <c r="F37" s="147">
        <v>100</v>
      </c>
      <c r="G37" s="147">
        <v>1</v>
      </c>
      <c r="H37" s="146">
        <f>(E37+F37)*G37/4</f>
        <v>525</v>
      </c>
      <c r="I37" s="128">
        <v>170</v>
      </c>
      <c r="J37" s="129">
        <f>0.64*0.9*I37/1000</f>
        <v>9.7920000000000021E-2</v>
      </c>
      <c r="K37" s="130">
        <v>4.13</v>
      </c>
      <c r="L37" s="148">
        <f>(E37+F37)*K37*G37</f>
        <v>8673</v>
      </c>
      <c r="M37" s="140">
        <f>4*200*G37</f>
        <v>800</v>
      </c>
      <c r="N37" s="141">
        <f>L37*0.45</f>
        <v>3902.85</v>
      </c>
      <c r="O37" s="141">
        <f>L37+M37+N37</f>
        <v>13375.85</v>
      </c>
      <c r="P37" s="142">
        <v>2.4</v>
      </c>
      <c r="Q37" s="143">
        <f>O37*P37</f>
        <v>32102.04</v>
      </c>
      <c r="R37" s="144">
        <f>Q37/C37</f>
        <v>16.051020000000001</v>
      </c>
      <c r="S37" s="131">
        <f>J37*H37*3.5</f>
        <v>179.92800000000003</v>
      </c>
      <c r="T37" s="150">
        <f>(E37*9)+(4*B37*2.8)+(0.8*B37*21)+(B37*5)+(6*0.2*B37)</f>
        <v>52200</v>
      </c>
      <c r="U37" s="139">
        <v>0.3</v>
      </c>
      <c r="V37" s="143">
        <f>(T37+Q37)+((Q37+T37)*U37)+S37</f>
        <v>109772.58</v>
      </c>
      <c r="W37" s="99">
        <f>V37/B37</f>
        <v>109.77258</v>
      </c>
      <c r="X37" s="132">
        <f>H37*J37</f>
        <v>51.408000000000008</v>
      </c>
    </row>
    <row r="38" spans="1:24" ht="45" x14ac:dyDescent="0.25">
      <c r="A38" s="138" t="s">
        <v>66</v>
      </c>
      <c r="B38" s="138">
        <v>5000</v>
      </c>
      <c r="C38" s="127">
        <f>B38*2</f>
        <v>10000</v>
      </c>
      <c r="D38" s="145">
        <v>1</v>
      </c>
      <c r="E38" s="146">
        <f>C38/D38</f>
        <v>10000</v>
      </c>
      <c r="F38" s="147">
        <v>100</v>
      </c>
      <c r="G38" s="147">
        <v>1</v>
      </c>
      <c r="H38" s="146">
        <f>(E38+F38)*G38/4</f>
        <v>2525</v>
      </c>
      <c r="I38" s="128">
        <v>170</v>
      </c>
      <c r="J38" s="129">
        <f>0.64*0.9*I38/1000</f>
        <v>9.7920000000000021E-2</v>
      </c>
      <c r="K38" s="130">
        <v>4.13</v>
      </c>
      <c r="L38" s="148">
        <f>(E38+F38)*K38*G38</f>
        <v>41713</v>
      </c>
      <c r="M38" s="140">
        <f>4*200*G38</f>
        <v>800</v>
      </c>
      <c r="N38" s="141">
        <f>L38*0.45</f>
        <v>18770.850000000002</v>
      </c>
      <c r="O38" s="141">
        <f>L38+M38+N38</f>
        <v>61283.850000000006</v>
      </c>
      <c r="P38" s="142">
        <v>2.2000000000000002</v>
      </c>
      <c r="Q38" s="143">
        <f>O38*P38</f>
        <v>134824.47000000003</v>
      </c>
      <c r="R38" s="144">
        <f>Q38/C38</f>
        <v>13.482447000000002</v>
      </c>
      <c r="S38" s="131">
        <f>J38*H38*3.5</f>
        <v>865.36800000000017</v>
      </c>
      <c r="T38" s="150">
        <f>(E38*9)+(4*B38*2.8)+(0.8*B38*21)+(B38*5)+(6*0.2*B38)</f>
        <v>261000</v>
      </c>
      <c r="U38" s="139">
        <v>0.3</v>
      </c>
      <c r="V38" s="143">
        <f>(T38+Q38)+((Q38+T38)*U38)+S38</f>
        <v>515437.17900000006</v>
      </c>
      <c r="W38" s="99">
        <f>V38/B38</f>
        <v>103.08743580000001</v>
      </c>
      <c r="X38" s="132">
        <f>H38*J38</f>
        <v>247.24800000000005</v>
      </c>
    </row>
    <row r="39" spans="1:24" ht="94.5" x14ac:dyDescent="0.25">
      <c r="A39" s="176"/>
      <c r="B39" s="177" t="s">
        <v>1</v>
      </c>
      <c r="C39" s="177" t="s">
        <v>2</v>
      </c>
      <c r="D39" s="178" t="s">
        <v>3</v>
      </c>
      <c r="E39" s="177" t="s">
        <v>4</v>
      </c>
      <c r="F39" s="177" t="s">
        <v>45</v>
      </c>
      <c r="G39" s="177" t="s">
        <v>5</v>
      </c>
      <c r="H39" s="177" t="s">
        <v>6</v>
      </c>
      <c r="I39" s="177" t="s">
        <v>7</v>
      </c>
      <c r="J39" s="177" t="s">
        <v>8</v>
      </c>
      <c r="K39" s="177" t="s">
        <v>9</v>
      </c>
      <c r="L39" s="179" t="s">
        <v>35</v>
      </c>
      <c r="M39" s="177" t="s">
        <v>10</v>
      </c>
      <c r="N39" s="177" t="s">
        <v>11</v>
      </c>
      <c r="O39" s="177" t="s">
        <v>12</v>
      </c>
      <c r="P39" s="177" t="s">
        <v>13</v>
      </c>
      <c r="Q39" s="178" t="s">
        <v>14</v>
      </c>
      <c r="R39" s="178" t="s">
        <v>15</v>
      </c>
      <c r="S39" s="180" t="s">
        <v>72</v>
      </c>
      <c r="T39" s="180" t="s">
        <v>17</v>
      </c>
      <c r="U39" s="177" t="s">
        <v>18</v>
      </c>
      <c r="V39" s="181" t="s">
        <v>14</v>
      </c>
    </row>
    <row r="40" spans="1:24" ht="18.75" x14ac:dyDescent="0.25">
      <c r="A40" s="258" t="s">
        <v>100</v>
      </c>
      <c r="B40" s="187">
        <v>1000</v>
      </c>
      <c r="C40" s="188">
        <v>1</v>
      </c>
      <c r="D40" s="189">
        <f>B40/C40</f>
        <v>1000</v>
      </c>
      <c r="E40" s="190">
        <v>100</v>
      </c>
      <c r="F40" s="190">
        <v>1</v>
      </c>
      <c r="G40" s="189">
        <f>(D40+E40)/4*F40</f>
        <v>275</v>
      </c>
      <c r="H40" s="191">
        <v>170</v>
      </c>
      <c r="I40" s="192">
        <f>0.64*0.9*H40/1000</f>
        <v>9.7920000000000021E-2</v>
      </c>
      <c r="J40" s="193">
        <v>3.25</v>
      </c>
      <c r="K40" s="194">
        <f>(D40+E40)*J40*F40</f>
        <v>3575</v>
      </c>
      <c r="L40" s="195">
        <f>4*250*F40</f>
        <v>1000</v>
      </c>
      <c r="M40" s="196">
        <f>K40*0.5</f>
        <v>1787.5</v>
      </c>
      <c r="N40" s="196">
        <f>K40+L40+M40</f>
        <v>6362.5</v>
      </c>
      <c r="O40" s="175">
        <v>2</v>
      </c>
      <c r="P40" s="197">
        <f>N40*O40</f>
        <v>12725</v>
      </c>
      <c r="Q40" s="198">
        <f>P40/B40</f>
        <v>12.725</v>
      </c>
      <c r="R40" s="198">
        <f>I40*G40*7</f>
        <v>188.49600000000004</v>
      </c>
      <c r="S40" s="199">
        <f>B40*4*2.8+B40*0.8*21+B40*7+D40*9</f>
        <v>44000</v>
      </c>
      <c r="T40" s="200">
        <v>0.3</v>
      </c>
      <c r="U40" s="197">
        <f>(S40+P40)+((P40+S40)*T40)+R40</f>
        <v>73930.995999999999</v>
      </c>
      <c r="V40" s="156">
        <f>U40/B40</f>
        <v>73.930995999999993</v>
      </c>
    </row>
    <row r="41" spans="1:24" ht="18.75" x14ac:dyDescent="0.25">
      <c r="A41" s="259"/>
      <c r="B41" s="187">
        <v>10000</v>
      </c>
      <c r="C41" s="188">
        <v>1</v>
      </c>
      <c r="D41" s="189">
        <f>B41/C41</f>
        <v>10000</v>
      </c>
      <c r="E41" s="190">
        <v>100</v>
      </c>
      <c r="F41" s="190">
        <v>1</v>
      </c>
      <c r="G41" s="189">
        <f>(D41+E41)/4*F41</f>
        <v>2525</v>
      </c>
      <c r="H41" s="191">
        <v>170</v>
      </c>
      <c r="I41" s="192">
        <f>0.64*0.9*H41/1000</f>
        <v>9.7920000000000021E-2</v>
      </c>
      <c r="J41" s="193">
        <v>4.3499999999999996</v>
      </c>
      <c r="K41" s="194">
        <f>(D41+E41)*J41*F41</f>
        <v>43935</v>
      </c>
      <c r="L41" s="195">
        <f>8*250*F41</f>
        <v>2000</v>
      </c>
      <c r="M41" s="196">
        <f>K41*0.5</f>
        <v>21967.5</v>
      </c>
      <c r="N41" s="196">
        <f>K41+L41+M41</f>
        <v>67902.5</v>
      </c>
      <c r="O41" s="175">
        <v>2.2000000000000002</v>
      </c>
      <c r="P41" s="197">
        <f>N41*O41</f>
        <v>149385.5</v>
      </c>
      <c r="Q41" s="198">
        <f>P41/B41</f>
        <v>14.938549999999999</v>
      </c>
      <c r="R41" s="198">
        <f>I41*G41*7+200</f>
        <v>1930.7360000000003</v>
      </c>
      <c r="S41" s="199">
        <f>B41*4*2.8+B41*0.8*10+B41*7+D41*9+B41*25+B41*6</f>
        <v>662000</v>
      </c>
      <c r="T41" s="200"/>
      <c r="U41" s="197">
        <f>(S41+P41)+((P41+S41)*T41)+R41</f>
        <v>813316.23600000003</v>
      </c>
      <c r="V41" s="156">
        <f>U41/B41</f>
        <v>81.3316236</v>
      </c>
    </row>
    <row r="42" spans="1:24" ht="18.75" x14ac:dyDescent="0.25">
      <c r="A42" s="260"/>
      <c r="B42" s="187">
        <v>10000</v>
      </c>
      <c r="C42" s="188">
        <v>1</v>
      </c>
      <c r="D42" s="189">
        <f>B42/C42</f>
        <v>10000</v>
      </c>
      <c r="E42" s="190">
        <v>100</v>
      </c>
      <c r="F42" s="190">
        <v>1</v>
      </c>
      <c r="G42" s="189">
        <f>(D42+E42)/4*F42</f>
        <v>2525</v>
      </c>
      <c r="H42" s="191">
        <v>170</v>
      </c>
      <c r="I42" s="192">
        <f>0.64*0.9*H42/1000</f>
        <v>9.7920000000000021E-2</v>
      </c>
      <c r="J42" s="193">
        <v>3.25</v>
      </c>
      <c r="K42" s="194">
        <f>(D42+E42)*J42*F42</f>
        <v>32825</v>
      </c>
      <c r="L42" s="195">
        <f>4*250*F42</f>
        <v>1000</v>
      </c>
      <c r="M42" s="196">
        <f>K42*0.5</f>
        <v>16412.5</v>
      </c>
      <c r="N42" s="196">
        <f>K42+L42+M42</f>
        <v>50237.5</v>
      </c>
      <c r="O42" s="175">
        <v>2</v>
      </c>
      <c r="P42" s="197">
        <f>N42*O42</f>
        <v>100475</v>
      </c>
      <c r="Q42" s="198">
        <f>P42/B42</f>
        <v>10.047499999999999</v>
      </c>
      <c r="R42" s="198">
        <f>I42*G42*7+200</f>
        <v>1930.7360000000003</v>
      </c>
      <c r="S42" s="199">
        <f>B42*4*2.8+B42*0.8*21+B42*7+D42*9</f>
        <v>440000</v>
      </c>
      <c r="T42" s="200">
        <v>0.3</v>
      </c>
      <c r="U42" s="197">
        <f>(S42+P42)+((P42+S42)*T42)+R42</f>
        <v>704548.23600000003</v>
      </c>
      <c r="V42" s="156">
        <f>U42/B42</f>
        <v>70.454823599999997</v>
      </c>
    </row>
    <row r="43" spans="1:24" ht="18.75" x14ac:dyDescent="0.25">
      <c r="A43" s="218" t="s">
        <v>119</v>
      </c>
      <c r="B43" s="187">
        <v>5000</v>
      </c>
      <c r="C43" s="188">
        <v>1</v>
      </c>
      <c r="D43" s="189">
        <f>B43/C43</f>
        <v>5000</v>
      </c>
      <c r="E43" s="190">
        <v>100</v>
      </c>
      <c r="F43" s="190">
        <v>2</v>
      </c>
      <c r="G43" s="189">
        <f>(D43+E43)/4*F43</f>
        <v>2550</v>
      </c>
      <c r="H43" s="191">
        <v>170</v>
      </c>
      <c r="I43" s="192">
        <f>0.64*0.9*H43/1000</f>
        <v>9.7920000000000021E-2</v>
      </c>
      <c r="J43" s="193">
        <v>3.25</v>
      </c>
      <c r="K43" s="194">
        <f>(D43+E43)*J43*F43</f>
        <v>33150</v>
      </c>
      <c r="L43" s="195">
        <f>4*250*F43</f>
        <v>2000</v>
      </c>
      <c r="M43" s="196">
        <f>K43*0.5</f>
        <v>16575</v>
      </c>
      <c r="N43" s="196">
        <f>K43+L43+M43</f>
        <v>51725</v>
      </c>
      <c r="O43" s="175">
        <v>2</v>
      </c>
      <c r="P43" s="197">
        <f>N43*O43</f>
        <v>103450</v>
      </c>
      <c r="Q43" s="198">
        <f>P43/B43</f>
        <v>20.69</v>
      </c>
      <c r="R43" s="198">
        <f>I43*G43*7+200</f>
        <v>1947.8720000000003</v>
      </c>
      <c r="S43" s="199">
        <f>B43*4*2.8+B43*0.8*21+B43*14+D43*2*9+B43*2*6+B43*50</f>
        <v>610000</v>
      </c>
      <c r="T43" s="200"/>
      <c r="U43" s="197">
        <f>(S43+P43)+((P43+S43)*T43)+R43</f>
        <v>715397.87199999997</v>
      </c>
      <c r="V43" s="156">
        <f>U43/B43</f>
        <v>143.07957439999998</v>
      </c>
    </row>
  </sheetData>
  <mergeCells count="65">
    <mergeCell ref="A40:A42"/>
    <mergeCell ref="U27:U28"/>
    <mergeCell ref="V27:V28"/>
    <mergeCell ref="W27:W28"/>
    <mergeCell ref="A30:A31"/>
    <mergeCell ref="P30:P31"/>
    <mergeCell ref="Q30:Q31"/>
    <mergeCell ref="R30:R31"/>
    <mergeCell ref="T30:T31"/>
    <mergeCell ref="U30:U31"/>
    <mergeCell ref="V30:V31"/>
    <mergeCell ref="W30:W31"/>
    <mergeCell ref="A27:A28"/>
    <mergeCell ref="P27:P28"/>
    <mergeCell ref="Q27:Q28"/>
    <mergeCell ref="R27:R28"/>
    <mergeCell ref="U24:U25"/>
    <mergeCell ref="V24:V25"/>
    <mergeCell ref="W24:W25"/>
    <mergeCell ref="A21:A22"/>
    <mergeCell ref="P21:P22"/>
    <mergeCell ref="Q21:Q22"/>
    <mergeCell ref="R21:R22"/>
    <mergeCell ref="A24:A25"/>
    <mergeCell ref="P24:P25"/>
    <mergeCell ref="Q24:Q25"/>
    <mergeCell ref="R24:R25"/>
    <mergeCell ref="T24:T25"/>
    <mergeCell ref="A11:A12"/>
    <mergeCell ref="T11:T12"/>
    <mergeCell ref="U11:U12"/>
    <mergeCell ref="V11:V12"/>
    <mergeCell ref="T21:T22"/>
    <mergeCell ref="U14:U15"/>
    <mergeCell ref="V14:V15"/>
    <mergeCell ref="A17:A18"/>
    <mergeCell ref="P17:P18"/>
    <mergeCell ref="Q17:Q18"/>
    <mergeCell ref="R17:R18"/>
    <mergeCell ref="T17:T18"/>
    <mergeCell ref="U17:U18"/>
    <mergeCell ref="V17:V18"/>
    <mergeCell ref="A14:A15"/>
    <mergeCell ref="P14:P15"/>
    <mergeCell ref="W11:W12"/>
    <mergeCell ref="P11:P12"/>
    <mergeCell ref="Q11:Q12"/>
    <mergeCell ref="R11:R12"/>
    <mergeCell ref="U33:U34"/>
    <mergeCell ref="V33:V34"/>
    <mergeCell ref="W33:W34"/>
    <mergeCell ref="T14:T15"/>
    <mergeCell ref="W14:W15"/>
    <mergeCell ref="W17:W18"/>
    <mergeCell ref="Q14:Q15"/>
    <mergeCell ref="R14:R15"/>
    <mergeCell ref="T27:T28"/>
    <mergeCell ref="U21:U22"/>
    <mergeCell ref="V21:V22"/>
    <mergeCell ref="W21:W22"/>
    <mergeCell ref="A33:A34"/>
    <mergeCell ref="P33:P34"/>
    <mergeCell ref="Q33:Q34"/>
    <mergeCell ref="R33:R34"/>
    <mergeCell ref="T33:T34"/>
  </mergeCells>
  <pageMargins left="0.7" right="0.7" top="0.75" bottom="0.75" header="0.3" footer="0.3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P6"/>
  <sheetViews>
    <sheetView zoomScale="110" zoomScaleNormal="110" workbookViewId="0">
      <selection activeCell="J17" sqref="J17"/>
    </sheetView>
  </sheetViews>
  <sheetFormatPr defaultRowHeight="15" x14ac:dyDescent="0.25"/>
  <cols>
    <col min="1" max="1" width="17.5703125" customWidth="1"/>
    <col min="2" max="2" width="15.28515625" customWidth="1"/>
    <col min="3" max="3" width="7.42578125" customWidth="1"/>
    <col min="13" max="13" width="7" customWidth="1"/>
    <col min="14" max="14" width="8.42578125" customWidth="1"/>
    <col min="15" max="15" width="11.85546875" customWidth="1"/>
    <col min="16" max="16" width="11.28515625" customWidth="1"/>
  </cols>
  <sheetData>
    <row r="1" spans="1:16" ht="51" x14ac:dyDescent="0.25">
      <c r="A1" s="115" t="s">
        <v>101</v>
      </c>
      <c r="B1" s="115"/>
      <c r="C1" s="116" t="s">
        <v>108</v>
      </c>
      <c r="D1" s="116" t="s">
        <v>20</v>
      </c>
      <c r="E1" s="101" t="s">
        <v>76</v>
      </c>
      <c r="F1" s="101" t="s">
        <v>48</v>
      </c>
      <c r="G1" s="101" t="s">
        <v>4</v>
      </c>
      <c r="H1" s="101" t="s">
        <v>5</v>
      </c>
      <c r="I1" s="100" t="s">
        <v>49</v>
      </c>
      <c r="J1" s="101" t="s">
        <v>75</v>
      </c>
      <c r="K1" s="101" t="s">
        <v>105</v>
      </c>
      <c r="L1" s="101" t="s">
        <v>55</v>
      </c>
      <c r="M1" s="102" t="s">
        <v>69</v>
      </c>
      <c r="N1" s="102" t="s">
        <v>74</v>
      </c>
      <c r="O1" s="101" t="s">
        <v>106</v>
      </c>
      <c r="P1" s="101" t="s">
        <v>107</v>
      </c>
    </row>
    <row r="2" spans="1:16" x14ac:dyDescent="0.25">
      <c r="A2" s="374" t="s">
        <v>103</v>
      </c>
      <c r="B2" s="215" t="s">
        <v>102</v>
      </c>
      <c r="C2" s="215" t="s">
        <v>109</v>
      </c>
      <c r="D2" s="105">
        <f>50*50/2</f>
        <v>1250</v>
      </c>
      <c r="E2" s="106">
        <v>1</v>
      </c>
      <c r="F2" s="107">
        <f>D2/E2</f>
        <v>1250</v>
      </c>
      <c r="G2" s="389">
        <v>100</v>
      </c>
      <c r="H2" s="107">
        <f>F2/8</f>
        <v>156.25</v>
      </c>
      <c r="I2" s="109">
        <v>0</v>
      </c>
      <c r="J2" s="109">
        <v>1.5</v>
      </c>
      <c r="K2" s="389">
        <f>17*0.41*D3</f>
        <v>348.5</v>
      </c>
      <c r="L2" s="110">
        <f>F2*(I2+J2)</f>
        <v>1875</v>
      </c>
      <c r="M2" s="401"/>
      <c r="N2" s="392">
        <v>0.2</v>
      </c>
      <c r="O2" s="398">
        <f>(L2+L3+L4+K2+M2)+(L2+L3+L4+K2+M2)*N2+G2</f>
        <v>3788.2</v>
      </c>
      <c r="P2" s="395">
        <f>O2/D3</f>
        <v>75.763999999999996</v>
      </c>
    </row>
    <row r="3" spans="1:16" x14ac:dyDescent="0.25">
      <c r="A3" s="388"/>
      <c r="B3" s="215" t="s">
        <v>92</v>
      </c>
      <c r="C3" s="215" t="s">
        <v>110</v>
      </c>
      <c r="D3" s="105">
        <v>50</v>
      </c>
      <c r="E3" s="106">
        <v>2</v>
      </c>
      <c r="F3" s="107">
        <f>D3/E3</f>
        <v>25</v>
      </c>
      <c r="G3" s="390"/>
      <c r="H3" s="107">
        <f t="shared" ref="H3:H4" si="0">F3/8</f>
        <v>3.125</v>
      </c>
      <c r="I3" s="109">
        <v>20</v>
      </c>
      <c r="J3" s="109">
        <v>7</v>
      </c>
      <c r="K3" s="390"/>
      <c r="L3" s="110">
        <f t="shared" ref="L3:L4" si="1">F3*(I3+J3)</f>
        <v>675</v>
      </c>
      <c r="M3" s="402"/>
      <c r="N3" s="393"/>
      <c r="O3" s="399"/>
      <c r="P3" s="396"/>
    </row>
    <row r="4" spans="1:16" x14ac:dyDescent="0.25">
      <c r="A4" s="375"/>
      <c r="B4" s="216" t="s">
        <v>104</v>
      </c>
      <c r="C4" s="216" t="s">
        <v>110</v>
      </c>
      <c r="D4" s="105">
        <v>50</v>
      </c>
      <c r="E4" s="106">
        <v>2</v>
      </c>
      <c r="F4" s="107">
        <f>D4/E4</f>
        <v>25</v>
      </c>
      <c r="G4" s="391"/>
      <c r="H4" s="107">
        <f t="shared" si="0"/>
        <v>3.125</v>
      </c>
      <c r="I4" s="109">
        <v>0</v>
      </c>
      <c r="J4" s="109">
        <v>7</v>
      </c>
      <c r="K4" s="391"/>
      <c r="L4" s="110">
        <f t="shared" si="1"/>
        <v>175</v>
      </c>
      <c r="M4" s="403"/>
      <c r="N4" s="394"/>
      <c r="O4" s="400"/>
      <c r="P4" s="397"/>
    </row>
    <row r="6" spans="1:16" ht="15" customHeight="1" x14ac:dyDescent="0.25"/>
  </sheetData>
  <mergeCells count="7">
    <mergeCell ref="A2:A4"/>
    <mergeCell ref="G2:G4"/>
    <mergeCell ref="K2:K4"/>
    <mergeCell ref="N2:N4"/>
    <mergeCell ref="P2:P4"/>
    <mergeCell ref="O2:O4"/>
    <mergeCell ref="M2:M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листовка офс</vt:lpstr>
      <vt:lpstr>Цифра А3</vt:lpstr>
      <vt:lpstr>Цифра А4</vt:lpstr>
      <vt:lpstr>брошюра, книги мяг. перепл офс</vt:lpstr>
      <vt:lpstr>пакет цифра</vt:lpstr>
      <vt:lpstr>книга тв-п цифра</vt:lpstr>
      <vt:lpstr>книга тв-п офс</vt:lpstr>
      <vt:lpstr>пакет офс</vt:lpstr>
      <vt:lpstr>Блокнот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2026-10-28T07:27:20Z</dcterms:modified>
</cp:coreProperties>
</file>